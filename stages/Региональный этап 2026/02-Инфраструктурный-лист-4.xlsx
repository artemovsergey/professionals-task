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ekaterinamerkulova/Downloads/"/>
    </mc:Choice>
  </mc:AlternateContent>
  <xr:revisionPtr revIDLastSave="0" documentId="13_ncr:1_{52ED1ECF-6C1E-3B49-B4AF-FC9354B23736}" xr6:coauthVersionLast="47" xr6:coauthVersionMax="47" xr10:uidLastSave="{00000000-0000-0000-0000-000000000000}"/>
  <bookViews>
    <workbookView xWindow="880" yWindow="500" windowWidth="26680" windowHeight="15140" activeTab="4" xr2:uid="{00000000-000D-0000-FFFF-FFFF00000000}"/>
  </bookViews>
  <sheets>
    <sheet name="Информация о Чемпионате" sheetId="8" r:id="rId1"/>
    <sheet name="Общая инфраструктура" sheetId="4" r:id="rId2"/>
    <sheet name="Рабочее место конкурсантов" sheetId="1" r:id="rId3"/>
    <sheet name="Расходные материалы" sheetId="5" r:id="rId4"/>
    <sheet name="Личный инструмент конкурсанта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4" l="1"/>
  <c r="G123" i="4" s="1"/>
  <c r="G43" i="4" l="1"/>
  <c r="G42" i="4"/>
  <c r="G75" i="1" l="1"/>
  <c r="G74" i="1"/>
  <c r="G73" i="1"/>
  <c r="G127" i="4"/>
  <c r="A5" i="7" l="1"/>
  <c r="A3" i="7"/>
  <c r="C15" i="5"/>
  <c r="C14" i="5"/>
  <c r="C13" i="5"/>
  <c r="C12" i="5"/>
  <c r="G11" i="5"/>
  <c r="E11" i="5"/>
  <c r="C11" i="5"/>
  <c r="G10" i="5"/>
  <c r="E10" i="5"/>
  <c r="C10" i="5"/>
  <c r="C9" i="5"/>
  <c r="D8" i="5"/>
  <c r="C7" i="5"/>
  <c r="A5" i="5"/>
  <c r="A3" i="5"/>
  <c r="C15" i="1"/>
  <c r="C14" i="1"/>
  <c r="C13" i="1"/>
  <c r="C12" i="1"/>
  <c r="G11" i="1"/>
  <c r="E11" i="1"/>
  <c r="C11" i="1"/>
  <c r="G10" i="1"/>
  <c r="E10" i="1"/>
  <c r="C10" i="1"/>
  <c r="C9" i="1"/>
  <c r="D8" i="1"/>
  <c r="C7" i="1"/>
  <c r="A5" i="1"/>
  <c r="A3" i="1"/>
  <c r="A3" i="4"/>
  <c r="A5" i="4"/>
  <c r="C11" i="4"/>
  <c r="D8" i="4"/>
  <c r="C7" i="4"/>
  <c r="C12" i="4"/>
  <c r="E122" i="4" s="1"/>
  <c r="E123" i="4" s="1"/>
  <c r="G10" i="4"/>
  <c r="E10" i="4"/>
  <c r="C10" i="4"/>
  <c r="G11" i="4"/>
  <c r="E11" i="4"/>
  <c r="C13" i="4"/>
  <c r="C14" i="4"/>
  <c r="C15" i="4"/>
  <c r="C9" i="4"/>
  <c r="E28" i="5" l="1"/>
  <c r="G29" i="5"/>
  <c r="G27" i="5"/>
  <c r="G32" i="5"/>
  <c r="E29" i="5"/>
  <c r="E27" i="5"/>
  <c r="E32" i="5"/>
  <c r="G28" i="5"/>
  <c r="G34" i="1"/>
  <c r="G41" i="1"/>
  <c r="G49" i="1"/>
  <c r="G57" i="1"/>
  <c r="G65" i="1"/>
  <c r="G42" i="1"/>
  <c r="G50" i="1"/>
  <c r="G51" i="1"/>
  <c r="G35" i="1"/>
  <c r="G58" i="1"/>
  <c r="G28" i="1"/>
  <c r="G29" i="1"/>
  <c r="G44" i="1"/>
  <c r="G52" i="1"/>
  <c r="G60" i="1"/>
  <c r="G68" i="1"/>
  <c r="G30" i="1"/>
  <c r="G37" i="1"/>
  <c r="G45" i="1"/>
  <c r="G53" i="1"/>
  <c r="G61" i="1"/>
  <c r="G69" i="1"/>
  <c r="G48" i="1"/>
  <c r="G43" i="1"/>
  <c r="G31" i="1"/>
  <c r="G38" i="1"/>
  <c r="G46" i="1"/>
  <c r="G54" i="1"/>
  <c r="G62" i="1"/>
  <c r="G70" i="1"/>
  <c r="G56" i="1"/>
  <c r="G66" i="1"/>
  <c r="G59" i="1"/>
  <c r="G32" i="1"/>
  <c r="G39" i="1"/>
  <c r="G47" i="1"/>
  <c r="G55" i="1"/>
  <c r="G63" i="1"/>
  <c r="G27" i="1"/>
  <c r="G40" i="1"/>
  <c r="G64" i="1"/>
  <c r="G36" i="1"/>
  <c r="G67" i="1"/>
  <c r="G33" i="1"/>
  <c r="G124" i="4"/>
  <c r="E124" i="4"/>
  <c r="G78" i="4"/>
  <c r="E78" i="4"/>
  <c r="G41" i="4"/>
  <c r="G40" i="4" s="1"/>
  <c r="E41" i="4"/>
  <c r="E40" i="4" s="1"/>
  <c r="E116" i="4"/>
  <c r="G113" i="4"/>
  <c r="G105" i="4"/>
  <c r="G97" i="4"/>
  <c r="G89" i="4"/>
  <c r="G82" i="4"/>
  <c r="E104" i="4"/>
  <c r="E96" i="4"/>
  <c r="E88" i="4"/>
  <c r="G81" i="4"/>
  <c r="E115" i="4"/>
  <c r="G112" i="4"/>
  <c r="G104" i="4"/>
  <c r="G96" i="4"/>
  <c r="G88" i="4"/>
  <c r="E111" i="4"/>
  <c r="E103" i="4"/>
  <c r="E95" i="4"/>
  <c r="E87" i="4"/>
  <c r="E114" i="4"/>
  <c r="G111" i="4"/>
  <c r="G103" i="4"/>
  <c r="G95" i="4"/>
  <c r="G87" i="4"/>
  <c r="E110" i="4"/>
  <c r="E102" i="4"/>
  <c r="E94" i="4"/>
  <c r="E86" i="4"/>
  <c r="G108" i="4"/>
  <c r="E99" i="4"/>
  <c r="E105" i="4"/>
  <c r="E113" i="4"/>
  <c r="G110" i="4"/>
  <c r="G102" i="4"/>
  <c r="G94" i="4"/>
  <c r="G86" i="4"/>
  <c r="E109" i="4"/>
  <c r="E101" i="4"/>
  <c r="E93" i="4"/>
  <c r="E85" i="4"/>
  <c r="G100" i="4"/>
  <c r="G92" i="4"/>
  <c r="G84" i="4"/>
  <c r="E91" i="4"/>
  <c r="E83" i="4"/>
  <c r="E89" i="4"/>
  <c r="E81" i="4"/>
  <c r="E112" i="4"/>
  <c r="G109" i="4"/>
  <c r="G101" i="4"/>
  <c r="G93" i="4"/>
  <c r="G85" i="4"/>
  <c r="E108" i="4"/>
  <c r="E100" i="4"/>
  <c r="E92" i="4"/>
  <c r="E84" i="4"/>
  <c r="G116" i="4"/>
  <c r="E107" i="4"/>
  <c r="E97" i="4"/>
  <c r="G115" i="4"/>
  <c r="G107" i="4"/>
  <c r="G99" i="4"/>
  <c r="G91" i="4"/>
  <c r="G83" i="4"/>
  <c r="E106" i="4"/>
  <c r="E98" i="4"/>
  <c r="E90" i="4"/>
  <c r="G114" i="4"/>
  <c r="G106" i="4"/>
  <c r="G98" i="4"/>
  <c r="G90" i="4"/>
  <c r="E82" i="4"/>
  <c r="G80" i="4"/>
  <c r="G75" i="4"/>
  <c r="A18" i="4"/>
  <c r="E73" i="4"/>
  <c r="E76" i="4"/>
  <c r="E80" i="4"/>
  <c r="E75" i="4"/>
  <c r="A47" i="4"/>
  <c r="E56" i="4"/>
  <c r="G79" i="4"/>
  <c r="G74" i="4"/>
  <c r="G58" i="4"/>
  <c r="G57" i="4" s="1"/>
  <c r="E77" i="4"/>
  <c r="A64" i="4"/>
  <c r="G77" i="4"/>
  <c r="E74" i="4"/>
  <c r="E58" i="4"/>
  <c r="E57" i="4" s="1"/>
  <c r="G73" i="4"/>
  <c r="E79" i="4"/>
  <c r="G56" i="4"/>
  <c r="G76" i="4"/>
  <c r="A67" i="4"/>
  <c r="G44" i="5"/>
  <c r="E44" i="5"/>
  <c r="G43" i="5"/>
  <c r="E43" i="5"/>
  <c r="G41" i="5"/>
  <c r="E41" i="5"/>
  <c r="G40" i="5"/>
  <c r="E40" i="5"/>
  <c r="G23" i="5"/>
  <c r="E23" i="5"/>
  <c r="G22" i="5"/>
  <c r="G21" i="5"/>
  <c r="G20" i="5"/>
  <c r="G19" i="5"/>
  <c r="G18" i="5"/>
  <c r="G31" i="5" l="1"/>
  <c r="E31" i="5"/>
  <c r="E26" i="5"/>
  <c r="G26" i="5"/>
</calcChain>
</file>

<file path=xl/sharedStrings.xml><?xml version="1.0" encoding="utf-8"?>
<sst xmlns="http://schemas.openxmlformats.org/spreadsheetml/2006/main" count="865" uniqueCount="255">
  <si>
    <t>Итоговое количество</t>
  </si>
  <si>
    <t>Единица измерения</t>
  </si>
  <si>
    <t>Количество</t>
  </si>
  <si>
    <t>Вид</t>
  </si>
  <si>
    <t>Краткие (рамочные) технические характеристики</t>
  </si>
  <si>
    <t xml:space="preserve">Наименование </t>
  </si>
  <si>
    <t>№</t>
  </si>
  <si>
    <t>Охрана труда и техника безопасности</t>
  </si>
  <si>
    <t xml:space="preserve">Интернет : Подключение  ноутбуков к беспроводному интернету (с возможностью подключения к проводному интернету) 	</t>
  </si>
  <si>
    <t xml:space="preserve">Требования к обеспечению зоны (коммуникации, площадь, сети, количество рабочих мест и др.): </t>
  </si>
  <si>
    <t>Рекомендации представителей индустрии (указывается конкретное оборудование)</t>
  </si>
  <si>
    <t>Основная информация о конкурсной площадке:</t>
  </si>
  <si>
    <t>Рабочее место Конкурсанта (расходные материалы по количеству конкурсантов)</t>
  </si>
  <si>
    <t>Расходные материалы на всех конкурсантов и экспертов</t>
  </si>
  <si>
    <t>Личный инструмент конкурсанта</t>
  </si>
  <si>
    <t xml:space="preserve">Примечание </t>
  </si>
  <si>
    <t>Общая зона конкурсной площадки (оборудование, инструмент, мебель)</t>
  </si>
  <si>
    <t>Комната Конкурсантов (оборудование, инструмент, мебель) (по количеству конкурсантов)</t>
  </si>
  <si>
    <t>Комната Экспертов (включая комнату Главного эксперта) (оборудование, инструмент, мебель) (по количеству экспертов)</t>
  </si>
  <si>
    <t xml:space="preserve">Количество рабочих мест: </t>
  </si>
  <si>
    <t>Компетенция</t>
  </si>
  <si>
    <t>Даты проведения</t>
  </si>
  <si>
    <t>Главный эксперт</t>
  </si>
  <si>
    <t>Количество рабочих мест</t>
  </si>
  <si>
    <t>Электронная почта ГЭ</t>
  </si>
  <si>
    <t>Базовая организация расположения конкурсной площадки</t>
  </si>
  <si>
    <r>
      <t>Адрес базовой организации:</t>
    </r>
    <r>
      <rPr>
        <b/>
        <sz val="12"/>
        <color rgb="FFFF0000"/>
        <rFont val="Times New Roman"/>
        <family val="1"/>
        <charset val="204"/>
      </rPr>
      <t xml:space="preserve"> </t>
    </r>
  </si>
  <si>
    <t xml:space="preserve">Даты проведения: </t>
  </si>
  <si>
    <r>
      <t>Главный эксперт:</t>
    </r>
    <r>
      <rPr>
        <b/>
        <sz val="12"/>
        <color rgb="FFFF0000"/>
        <rFont val="Times New Roman"/>
        <family val="1"/>
        <charset val="204"/>
      </rPr>
      <t xml:space="preserve"> </t>
    </r>
  </si>
  <si>
    <t>Субъект Российской Федерации:</t>
  </si>
  <si>
    <t>Базовая организация расположения конкурсной площадки:</t>
  </si>
  <si>
    <t>Инфраструктурный лист для оснащения конкурсной площадки</t>
  </si>
  <si>
    <t>по компетенции</t>
  </si>
  <si>
    <t>Наименование этапа Чемпионата</t>
  </si>
  <si>
    <t>Адрес конкурсной площадки</t>
  </si>
  <si>
    <t>Электронная почта ТАП</t>
  </si>
  <si>
    <t xml:space="preserve">Технический администратор площадки: </t>
  </si>
  <si>
    <t>Рабочее место Конкурсанта (основное оборудование, вспомогательное оборудование, инструмент (по количеству рабочих мест))</t>
  </si>
  <si>
    <t>Моб.телефон ГЭ</t>
  </si>
  <si>
    <t>Моб.телефон ТАП</t>
  </si>
  <si>
    <t>Контур заземления для электропитания и сети слаботочных подключений (при необходимости) : не требуется</t>
  </si>
  <si>
    <t xml:space="preserve">Складское помещение </t>
  </si>
  <si>
    <t>Технический администратор площадки</t>
  </si>
  <si>
    <t>Количество экспертов (ЭН+ГЭ+ИЭ) + ТАП:</t>
  </si>
  <si>
    <t>ЭН - эксперт-наставник</t>
  </si>
  <si>
    <t>ГЭ - главный эксперт</t>
  </si>
  <si>
    <t>ИЭ - индустриальный эксперт</t>
  </si>
  <si>
    <t>ТАП - технический администратор площадки</t>
  </si>
  <si>
    <t>Субъект РФ (регион проведения)</t>
  </si>
  <si>
    <t xml:space="preserve">Количество конкурсантов </t>
  </si>
  <si>
    <t xml:space="preserve">Количество конкурсантов: </t>
  </si>
  <si>
    <t>Количество экспертов (ГЭ+ЭН+ИЭ)+ТАП</t>
  </si>
  <si>
    <t>Программные решения для бизнеса</t>
  </si>
  <si>
    <t>Региональный этап</t>
  </si>
  <si>
    <t>Покрытие пола: ковролин  - на всю зону</t>
  </si>
  <si>
    <t>Подведение/ отведение ГХВС (при необходимости): не требуется</t>
  </si>
  <si>
    <t>Подведение сжатого воздуха (при необходимости): не требуется</t>
  </si>
  <si>
    <t>Офисный стол</t>
  </si>
  <si>
    <t>Компьютерный стул</t>
  </si>
  <si>
    <t>Стелаж</t>
  </si>
  <si>
    <t>Мебель</t>
  </si>
  <si>
    <t>шт</t>
  </si>
  <si>
    <t>Покрытие пола: ковролин на всю зону</t>
  </si>
  <si>
    <t>Вешалка</t>
  </si>
  <si>
    <t>Мусорная корзина</t>
  </si>
  <si>
    <t>Аптечка первой помощи работникам</t>
  </si>
  <si>
    <t>Огнетушитель углекислотный ОУ-1 или аналог</t>
  </si>
  <si>
    <t>По приказу № 169н</t>
  </si>
  <si>
    <t>Оборудование</t>
  </si>
  <si>
    <t xml:space="preserve">шт ( на 1 раб.место) </t>
  </si>
  <si>
    <t>Подведение/ отведение ГХВС (при необходимости) : не требуется</t>
  </si>
  <si>
    <t>Персональный компьютер в сборе</t>
  </si>
  <si>
    <t>Компьютерный монитор</t>
  </si>
  <si>
    <t>Интерфейсный кабель для подключения монитора</t>
  </si>
  <si>
    <t>Клавиатура</t>
  </si>
  <si>
    <t>Компьютерная мышь</t>
  </si>
  <si>
    <t>Коврик для компьютерной мыши</t>
  </si>
  <si>
    <t>Кабель питания</t>
  </si>
  <si>
    <t>Источник бесперебойного питания</t>
  </si>
  <si>
    <t>Сетевой фильтр</t>
  </si>
  <si>
    <t>ПО операционная система</t>
  </si>
  <si>
    <t>ПО для просмотра документов в формате PDF</t>
  </si>
  <si>
    <t>ПО для архивации</t>
  </si>
  <si>
    <t>ПО офисный пакет</t>
  </si>
  <si>
    <t>ПО веб-браузер</t>
  </si>
  <si>
    <t>ПО редактор диаграмм</t>
  </si>
  <si>
    <t>ПО Git или аналог</t>
  </si>
  <si>
    <t>ПО .NET</t>
  </si>
  <si>
    <t>ПО среда разработки</t>
  </si>
  <si>
    <t>Набор средств разработки</t>
  </si>
  <si>
    <t>Библиотека</t>
  </si>
  <si>
    <t>ORM-инструмент</t>
  </si>
  <si>
    <t xml:space="preserve">Программное обеспечение </t>
  </si>
  <si>
    <t>Среда для разработки графических интерфейсов</t>
  </si>
  <si>
    <t>Текстовый редактор</t>
  </si>
  <si>
    <t>Клиент для работы с API</t>
  </si>
  <si>
    <t>ПО СУБД</t>
  </si>
  <si>
    <t>МФУ цветное лазерное</t>
  </si>
  <si>
    <t>Интерфейсный кабель для подключения МФУ</t>
  </si>
  <si>
    <t>Веер цифр</t>
  </si>
  <si>
    <t>Шкаф с запирающимися ячейками</t>
  </si>
  <si>
    <t>Светильник настольный светодиодный</t>
  </si>
  <si>
    <t>ЖКД с диагональю не менее 21"</t>
  </si>
  <si>
    <t>Кабель питания CEE 7/7 - IEC 320 C13</t>
  </si>
  <si>
    <t>Источник бесперебойного питания мощностью от 600ВА</t>
  </si>
  <si>
    <t>6 розеток, 5 метров</t>
  </si>
  <si>
    <t>Программное обеспечение Android Studio, включая следующие компоненты:
 - Android SDK Tools;
 - Android SDK Platform-Tools;
 - Android SDK Build-Tools;
 - Android SDK Platform;
 - USB Driver.</t>
  </si>
  <si>
    <t>Android SDK</t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</si>
  <si>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Dart SDK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</si>
  <si>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 xml:space="preserve">Flutter SDK 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</si>
  <si>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Electron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</si>
  <si>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Vue.js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</si>
  <si>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Next.js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</si>
  <si>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Node.js</t>
    </r>
  </si>
  <si>
    <r>
      <rPr>
        <sz val="11"/>
        <color theme="1"/>
        <rFont val="Times New Roman"/>
        <family val="1"/>
      </rPr>
      <t xml:space="preserve">Программное обеспечение </t>
    </r>
    <r>
      <rPr>
        <sz val="11"/>
        <color theme="1"/>
        <rFont val="Times New Roman"/>
        <family val="1"/>
        <charset val="204"/>
      </rPr>
      <t>WebStorm</t>
    </r>
  </si>
  <si>
    <t>Программное обеспечение e(fx)clipse</t>
  </si>
  <si>
    <t>Программное обеспечение Java SE 17 Development Kit</t>
  </si>
  <si>
    <t>Anaconda3 включая Python-3.11, включая следующие компоненты:
 - Kivy; 
 - PyJNIus;
 - PyQt 6;
 - Pillow;
 - mariadb-connector;
 - postgresql.</t>
  </si>
  <si>
    <t>Kivy Designer</t>
  </si>
  <si>
    <t>Qt Designer 6</t>
  </si>
  <si>
    <t>Программное обеспечение текстовый редактор Sublime Text</t>
  </si>
  <si>
    <t>Программное обеспечение Postman</t>
  </si>
  <si>
    <t>DataGrip</t>
  </si>
  <si>
    <t>с функцией поточного сканирования, скорость печати не менее 20 стр./мин, интерфейсы Ethernet и USB</t>
  </si>
  <si>
    <t>Оборудование IT</t>
  </si>
  <si>
    <t>ПО</t>
  </si>
  <si>
    <t>Расходные материалы</t>
  </si>
  <si>
    <t>ячеек</t>
  </si>
  <si>
    <t>Аптечка</t>
  </si>
  <si>
    <t>Огнетушитель</t>
  </si>
  <si>
    <t>Кулер 19 л (холодная/горячая вода)</t>
  </si>
  <si>
    <t>Охрана труда</t>
  </si>
  <si>
    <t>Смартфон/Планшет с ОС Android</t>
  </si>
  <si>
    <t>Смартфон/планшет с операционной системой Android, версия не ниже 8, включая следующие компоненты:
 - Wi-Fi;
 - NFC;
 - Bluetooth, версия не ниже 4;
 - интерфейсный кабель для подключения к ПК.</t>
  </si>
  <si>
    <t>Программное обеспечение JetBrains Rider 
Включая следующие компоненты:
 - Web Development;
 - Database Tools;
 - Version Controls;
 - Rider Xamarin Android Support;
 - AvaloniaRider.</t>
  </si>
  <si>
    <t>Программное обеспечение ПО Eclipse IDE for Java</t>
  </si>
  <si>
    <t>Ручка</t>
  </si>
  <si>
    <t xml:space="preserve">шт ( на 1 конкурсанта) </t>
  </si>
  <si>
    <t>Карандаш HB</t>
  </si>
  <si>
    <t>Ластик</t>
  </si>
  <si>
    <t>Линейка</t>
  </si>
  <si>
    <t>Папка-конверт на кнопке А4</t>
  </si>
  <si>
    <t>Ручка шариковая</t>
  </si>
  <si>
    <t>Скрепки</t>
  </si>
  <si>
    <t>Стикеры</t>
  </si>
  <si>
    <t xml:space="preserve">С клейкой полосой. 100 шт. в блоке. </t>
  </si>
  <si>
    <t>Проводная, подключение по USB</t>
  </si>
  <si>
    <t>штука</t>
  </si>
  <si>
    <t>Наименование субъекта РФ</t>
  </si>
  <si>
    <t>Наименование организации</t>
  </si>
  <si>
    <t>город, улица, дом.</t>
  </si>
  <si>
    <t>ФИО ГЭ</t>
  </si>
  <si>
    <t>Мобильный телефон ГЭ</t>
  </si>
  <si>
    <t>ФИО ТАП</t>
  </si>
  <si>
    <t>Мобильный телефон ТАП</t>
  </si>
  <si>
    <t>Бумага для офисной техники</t>
  </si>
  <si>
    <t>Белая, А4, пачка 500 листов</t>
  </si>
  <si>
    <t>Катридж для цветного МФУ</t>
  </si>
  <si>
    <t xml:space="preserve">Папка-планшет </t>
  </si>
  <si>
    <t>Скоросшиватель пластиковый</t>
  </si>
  <si>
    <t>Бумага для флипчартов</t>
  </si>
  <si>
    <t>Формат А3</t>
  </si>
  <si>
    <t>упак</t>
  </si>
  <si>
    <t>Клейкая лента канцелярская двусторонняя</t>
  </si>
  <si>
    <t>Степлер</t>
  </si>
  <si>
    <t>Скобы для степлера</t>
  </si>
  <si>
    <t>Упаковка 1000 шт</t>
  </si>
  <si>
    <t>коробка</t>
  </si>
  <si>
    <t>Файл-вкладыш, плотный</t>
  </si>
  <si>
    <t>А4, упаковка 100 шт</t>
  </si>
  <si>
    <t>Набор маркеров (перманентные)</t>
  </si>
  <si>
    <t>4 цвета, количество в упаковке 4 шт</t>
  </si>
  <si>
    <t>упаковка</t>
  </si>
  <si>
    <t xml:space="preserve">Ножницы </t>
  </si>
  <si>
    <t>Мешки для мусора</t>
  </si>
  <si>
    <t>60 литров, рулон 30 шт</t>
  </si>
  <si>
    <t>рулон</t>
  </si>
  <si>
    <t>Стакан одноразовый для холодных напитков</t>
  </si>
  <si>
    <t>200 мл., упаковка 100 шт</t>
  </si>
  <si>
    <t>Стакан одноразовый термостойкий</t>
  </si>
  <si>
    <t>200 мл., упаковка 50 шт</t>
  </si>
  <si>
    <t>Флеш накопитель</t>
  </si>
  <si>
    <t>16 Гб</t>
  </si>
  <si>
    <t>Вода 19 литров</t>
  </si>
  <si>
    <t>ЦПУ:
 - минимальная базовая тактовая частота 2.0 ГГц;
 - количество физических ядер не менее 4;
 - количество потоков не менее 4;
 ОЗУ:
 - объем не менее 8 Гб;
 ПЗУ:
 - SSD объемом не менее 500 Гб, либо SSHD/HDD объемом не менее 500 Гб;
 сетевой адаптер:
 - технология Ethernet стандарта 100BASE-T и/или 1000BASE-T;
 графический адаптер:
 - стандарт не ниже WXGA;
 - возможность подключения двух независимых мониторов.</t>
  </si>
  <si>
    <t>Программная платформа .NET 9.0 включая следующие компоненты:
-Avalonia                                                                                                          -NET Framework Core                                                                                                                              -NET Framework Tools                                                                                                                              -NET Framework Design</t>
  </si>
  <si>
    <t>Шт</t>
  </si>
  <si>
    <t>шт.</t>
  </si>
  <si>
    <t>Интерфейсный кабель для подключения монитора или проектора</t>
  </si>
  <si>
    <t>Проектор с экраном</t>
  </si>
  <si>
    <t>Офисный стул</t>
  </si>
  <si>
    <t>Флипчарт</t>
  </si>
  <si>
    <t>Освещение: Допустимо верхнее искусственное освещение (не менее 500 люкс)</t>
  </si>
  <si>
    <t>Интернет: не требуется</t>
  </si>
  <si>
    <t>Электричество: не требуется</t>
  </si>
  <si>
    <t>Контур заземления для электропитания и сети слаботочных подключений (при необходимости): не требуется</t>
  </si>
  <si>
    <t xml:space="preserve">Освещение: Допустимо верхнее искусственное освещение (не менее 500 люкс) </t>
  </si>
  <si>
    <t xml:space="preserve">Электричество: 2 подключения к сети по 220 Вольт	</t>
  </si>
  <si>
    <t>Площадь зоны: не менее 4 кв.м.</t>
  </si>
  <si>
    <t xml:space="preserve">Интернет: Подключение  ноутбуков к беспроводному интернету (с возможностью подключения к проводному интернету) 	</t>
  </si>
  <si>
    <t xml:space="preserve">Электричество: 1 подключение к сети по 220 Вольт	</t>
  </si>
  <si>
    <t>ЦПУ:
 - минимальная базовая тактовая частота 2.0 ГГц;
 - количество физических ядер не менее 4;
 - количество потоков не менее 4;
 ОЗУ:
 - объем не менее 16 Гб;
 ПЗУ:
 - SSD объемом не менее 500 Гб, либо SSHD/HDD объемом не менее 500 Гб;
 сетевой адаптер:
 - технология Ethernet стандарта 100BASE-T и/или 1000BASE-T;
 графический адаптер:
 - стандарт не ниже WXGA;
 - возможность подключения двух независимых мониторов.</t>
  </si>
  <si>
    <t>Площадь зоны: не менее 5 кв.м.</t>
  </si>
  <si>
    <t>Наушники</t>
  </si>
  <si>
    <t>Проводные, разъём Jack 3,5</t>
  </si>
  <si>
    <t>dbeaver</t>
  </si>
  <si>
    <t>РедБД</t>
  </si>
  <si>
    <t>Программное обеспечение IntelliJ IDEA  Community Edition</t>
  </si>
  <si>
    <t>РЕД ОС 8.0</t>
  </si>
  <si>
    <t>Atril 1.28.0</t>
  </si>
  <si>
    <t>Engrampa 1.28.1</t>
  </si>
  <si>
    <t>Р7-Офис. Профессиональный (десктопная версия) 2024.4.2.721</t>
  </si>
  <si>
    <t>Яндекс Браузер 24.12.4.1093</t>
  </si>
  <si>
    <t>Р7-Графика 1.14.247171111</t>
  </si>
  <si>
    <t>Git 2.48.1</t>
  </si>
  <si>
    <t>.NET 9.0, Python-3.11, Java SE 17 Development Kit</t>
  </si>
  <si>
    <t>РЕД База Данных 5</t>
  </si>
  <si>
    <t>DBeaver Community 25.0.0</t>
  </si>
  <si>
    <t>DataGrip v2024.3.5</t>
  </si>
  <si>
    <t>Postman v7.33.1</t>
  </si>
  <si>
    <t>Sublime Text Build 4200</t>
  </si>
  <si>
    <t>Kivy Designer 2.3.1</t>
  </si>
  <si>
    <t>PyCharm Community Edition 2024.3.4</t>
  </si>
  <si>
    <t>Программное обеспечение PyCharm Community Edition</t>
  </si>
  <si>
    <t>Anaconda3 2025.06-0</t>
  </si>
  <si>
    <t>Программное обеспечение Hibernate ORM</t>
  </si>
  <si>
    <t>Hibernate ORM 7.1 series</t>
  </si>
  <si>
    <t>Eclipse IDE for Java Developers - 2025-03</t>
  </si>
  <si>
    <t>IntelliJ IDEA Community Edition v2024.3.4.1</t>
  </si>
  <si>
    <t>Java SE 17 Development Kit</t>
  </si>
  <si>
    <t>Node.js v22.14.0</t>
  </si>
  <si>
    <t>Next.js v15.2.2</t>
  </si>
  <si>
    <t>Vue.js v2.7.16</t>
  </si>
  <si>
    <t>Electron 35.0.1</t>
  </si>
  <si>
    <t>Flutter SDK v3.29.1</t>
  </si>
  <si>
    <t>Dart SDK v3.7.0</t>
  </si>
  <si>
    <t>Android Studio2024.3.1</t>
  </si>
  <si>
    <t>JetBrains Rider 2024.3.6</t>
  </si>
  <si>
    <t>WebStorm v2024.3.4</t>
  </si>
  <si>
    <t>e(fx)clipse 2.4.0 в составе Eclipse 4.6.0 SDK</t>
  </si>
  <si>
    <t>Программное обеспечение Visual Studio Code включая:
- C#
- C# Dev Kit
- C# Extensions
- C# XML Documentation Comments
- NuGet Package Manage
- .NET Extension Pack
- .NET MAUI
- Avalonia for VSCode
- Avalonia Templates
- Xml Complete
- Python
- Python Debugger
- Python Extension Pack
- Python Path
- Python Test Explorer for Visual Studio Code
- Qt for Python
- Python Development Extensions Pack
- Java Extension Pack
- Spring Boot Extension Pack
- Maven for Java
- Java
- Gradle for Java
- gradle-build-helper
- Live Server
- Path Intellisense
- npm Intellisense 
- Vue.js Extension Pack
- Angular Essentials
- Flutter
- React Native Tools
- React Extension Pack
- Node Essentials
- Next.js CLI</t>
  </si>
  <si>
    <t>Visual Studio Code v1.98.1</t>
  </si>
  <si>
    <t>Android 10 SDK</t>
  </si>
  <si>
    <t xml:space="preserve"> - SQLAlchemy
 - JDBC (Java Database Connectivity)
 - ADO.NET
 - ODBC (Open Database Connectivity)
 - MySQL Connector/C++</t>
  </si>
  <si>
    <t>Qt6 Designer</t>
  </si>
  <si>
    <t>Критически важные характеристики позиции отсутствуют</t>
  </si>
  <si>
    <t>Критически важные характеристики позиции отсутствуют (например, РедОС «Рабочая станция» или аналог)</t>
  </si>
  <si>
    <t>Критически важные характеристики позиции отсутствуют (например, ПО Okular или Master PDF Editor или аналог)</t>
  </si>
  <si>
    <t>Критически важные характеристики позиции отсутствуют (например, ПО p7zip или аналог)</t>
  </si>
  <si>
    <t>Критически важные характеристики позиции отсутствуют (например, ПО OnlyOffice или МойОфис или аналог)</t>
  </si>
  <si>
    <t>Критически важные характеристики позиции отсутствуют (например, ПО Яндекс Браузер или аналог)</t>
  </si>
  <si>
    <t>Критически важные характеристики позиции отсутствуют (например, ПО 7zip или аналог)</t>
  </si>
  <si>
    <t>Критически важные характеристики позиции отсутствуют (например, ПО Р7-Офис или МойОфис или аналог)</t>
  </si>
  <si>
    <t>Критически важные характеристики позиции отсутствуют (например, ПО Umbrello или аналог)</t>
  </si>
  <si>
    <t>Критически важные характеристики позиции отсутствуют (например, ПО Git)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</si>
</sst>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name val="Calibri"/>
      <family val="2"/>
      <charset val="204"/>
    </font>
    <font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rgb="FF3A3838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2" fillId="0" borderId="0"/>
  </cellStyleXfs>
  <cellXfs count="154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center" vertical="center" wrapText="1"/>
    </xf>
    <xf numFmtId="0" fontId="7" fillId="0" borderId="0" xfId="1" applyFont="1"/>
    <xf numFmtId="0" fontId="2" fillId="0" borderId="0" xfId="1" applyFont="1"/>
    <xf numFmtId="0" fontId="4" fillId="0" borderId="0" xfId="1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13" fillId="0" borderId="17" xfId="0" applyFont="1" applyBorder="1" applyAlignment="1">
      <alignment wrapText="1"/>
    </xf>
    <xf numFmtId="0" fontId="13" fillId="0" borderId="17" xfId="0" applyFont="1" applyBorder="1" applyAlignment="1">
      <alignment horizontal="right" wrapText="1"/>
    </xf>
    <xf numFmtId="0" fontId="6" fillId="0" borderId="0" xfId="1" applyFont="1"/>
    <xf numFmtId="0" fontId="6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9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 wrapText="1"/>
    </xf>
    <xf numFmtId="0" fontId="10" fillId="0" borderId="17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left" vertical="top" wrapText="1"/>
    </xf>
    <xf numFmtId="0" fontId="2" fillId="0" borderId="18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0" fillId="0" borderId="0" xfId="1" applyFont="1" applyAlignment="1">
      <alignment horizontal="left" vertical="top" wrapText="1"/>
    </xf>
    <xf numFmtId="0" fontId="2" fillId="0" borderId="17" xfId="1" applyFont="1" applyBorder="1" applyAlignment="1">
      <alignment horizontal="center" vertical="top"/>
    </xf>
    <xf numFmtId="0" fontId="8" fillId="0" borderId="17" xfId="1" applyFont="1" applyBorder="1" applyAlignment="1">
      <alignment horizontal="left" vertical="top"/>
    </xf>
    <xf numFmtId="0" fontId="2" fillId="0" borderId="16" xfId="1" applyFont="1" applyBorder="1" applyAlignment="1">
      <alignment horizontal="center" vertical="center" wrapText="1"/>
    </xf>
    <xf numFmtId="0" fontId="15" fillId="0" borderId="17" xfId="0" applyFont="1" applyBorder="1" applyAlignment="1">
      <alignment wrapText="1"/>
    </xf>
    <xf numFmtId="0" fontId="17" fillId="0" borderId="17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top"/>
    </xf>
    <xf numFmtId="0" fontId="16" fillId="0" borderId="17" xfId="0" applyFont="1" applyBorder="1" applyAlignment="1">
      <alignment vertical="top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16" fillId="0" borderId="17" xfId="0" applyFont="1" applyBorder="1" applyAlignment="1">
      <alignment horizontal="left"/>
    </xf>
    <xf numFmtId="0" fontId="16" fillId="0" borderId="17" xfId="0" applyFont="1" applyBorder="1"/>
    <xf numFmtId="0" fontId="16" fillId="0" borderId="17" xfId="0" applyFont="1" applyBorder="1" applyAlignment="1">
      <alignment vertical="top" wrapText="1"/>
    </xf>
    <xf numFmtId="0" fontId="10" fillId="0" borderId="17" xfId="0" applyFont="1" applyBorder="1" applyAlignment="1">
      <alignment vertical="center" wrapText="1"/>
    </xf>
    <xf numFmtId="0" fontId="9" fillId="0" borderId="17" xfId="0" applyFont="1" applyBorder="1" applyAlignment="1">
      <alignment vertical="top" wrapText="1"/>
    </xf>
    <xf numFmtId="0" fontId="9" fillId="0" borderId="17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top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1" fillId="0" borderId="24" xfId="1" applyBorder="1"/>
    <xf numFmtId="0" fontId="2" fillId="0" borderId="20" xfId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18" fillId="0" borderId="17" xfId="0" applyFont="1" applyBorder="1" applyAlignment="1">
      <alignment vertical="center" wrapText="1"/>
    </xf>
    <xf numFmtId="0" fontId="16" fillId="0" borderId="19" xfId="0" applyFont="1" applyBorder="1" applyAlignment="1">
      <alignment horizontal="center" vertical="center" wrapText="1"/>
    </xf>
    <xf numFmtId="0" fontId="2" fillId="0" borderId="23" xfId="1" applyFont="1" applyBorder="1" applyAlignment="1">
      <alignment horizontal="center" vertical="center" wrapText="1"/>
    </xf>
    <xf numFmtId="0" fontId="2" fillId="0" borderId="23" xfId="1" applyFont="1" applyBorder="1" applyAlignment="1">
      <alignment horizontal="left" vertical="center" wrapText="1"/>
    </xf>
    <xf numFmtId="0" fontId="2" fillId="0" borderId="22" xfId="1" applyFont="1" applyBorder="1" applyAlignment="1">
      <alignment horizontal="center" vertical="center" wrapText="1"/>
    </xf>
    <xf numFmtId="0" fontId="19" fillId="0" borderId="17" xfId="0" applyFont="1" applyBorder="1" applyAlignment="1">
      <alignment horizontal="right" wrapText="1"/>
    </xf>
    <xf numFmtId="0" fontId="2" fillId="0" borderId="2" xfId="1" applyFont="1" applyBorder="1" applyAlignment="1">
      <alignment horizontal="center" vertical="center"/>
    </xf>
    <xf numFmtId="0" fontId="21" fillId="0" borderId="28" xfId="0" applyFont="1" applyBorder="1" applyAlignment="1">
      <alignment vertical="center" wrapText="1"/>
    </xf>
    <xf numFmtId="0" fontId="21" fillId="0" borderId="28" xfId="0" applyFont="1" applyBorder="1" applyAlignment="1">
      <alignment wrapText="1"/>
    </xf>
    <xf numFmtId="0" fontId="20" fillId="0" borderId="28" xfId="0" applyFont="1" applyBorder="1" applyAlignment="1">
      <alignment horizontal="center" vertical="center" wrapText="1"/>
    </xf>
    <xf numFmtId="0" fontId="8" fillId="0" borderId="15" xfId="1" applyFont="1" applyBorder="1" applyAlignment="1">
      <alignment horizontal="left" vertical="top"/>
    </xf>
    <xf numFmtId="0" fontId="10" fillId="0" borderId="24" xfId="1" applyFont="1" applyBorder="1" applyAlignment="1">
      <alignment horizontal="left" vertical="top" wrapText="1"/>
    </xf>
    <xf numFmtId="0" fontId="20" fillId="0" borderId="28" xfId="0" applyFont="1" applyBorder="1" applyAlignment="1">
      <alignment horizontal="center" vertical="center"/>
    </xf>
    <xf numFmtId="49" fontId="21" fillId="0" borderId="29" xfId="0" applyNumberFormat="1" applyFont="1" applyBorder="1" applyAlignment="1">
      <alignment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29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0" borderId="28" xfId="1" applyFont="1" applyBorder="1" applyAlignment="1">
      <alignment horizontal="left" vertical="center" wrapText="1"/>
    </xf>
    <xf numFmtId="0" fontId="21" fillId="0" borderId="28" xfId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/>
    </xf>
    <xf numFmtId="0" fontId="8" fillId="0" borderId="19" xfId="1" applyFont="1" applyBorder="1" applyAlignment="1">
      <alignment horizontal="left" vertical="top"/>
    </xf>
    <xf numFmtId="0" fontId="21" fillId="0" borderId="30" xfId="0" applyFont="1" applyBorder="1" applyAlignment="1">
      <alignment horizontal="left" vertical="top" wrapText="1"/>
    </xf>
    <xf numFmtId="0" fontId="21" fillId="0" borderId="17" xfId="0" applyFont="1" applyBorder="1" applyAlignment="1">
      <alignment wrapText="1"/>
    </xf>
    <xf numFmtId="0" fontId="21" fillId="0" borderId="17" xfId="0" applyFont="1" applyBorder="1" applyAlignment="1">
      <alignment horizontal="left" vertical="top"/>
    </xf>
    <xf numFmtId="0" fontId="21" fillId="0" borderId="17" xfId="0" applyFont="1" applyBorder="1" applyAlignment="1">
      <alignment vertical="top" wrapText="1"/>
    </xf>
    <xf numFmtId="0" fontId="20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10" fillId="0" borderId="16" xfId="1" applyFont="1" applyBorder="1" applyAlignment="1">
      <alignment horizontal="left" vertical="top" wrapText="1"/>
    </xf>
    <xf numFmtId="0" fontId="21" fillId="0" borderId="17" xfId="0" applyFont="1" applyBorder="1" applyAlignment="1">
      <alignment vertical="top"/>
    </xf>
    <xf numFmtId="0" fontId="21" fillId="0" borderId="17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17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left" vertical="center"/>
    </xf>
    <xf numFmtId="0" fontId="20" fillId="0" borderId="30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 wrapText="1"/>
    </xf>
    <xf numFmtId="0" fontId="20" fillId="0" borderId="19" xfId="0" applyFont="1" applyBorder="1" applyAlignment="1">
      <alignment wrapText="1"/>
    </xf>
    <xf numFmtId="0" fontId="20" fillId="0" borderId="32" xfId="0" applyFont="1" applyBorder="1" applyAlignment="1">
      <alignment horizontal="center" vertical="center" wrapText="1"/>
    </xf>
    <xf numFmtId="0" fontId="21" fillId="0" borderId="17" xfId="0" applyFont="1" applyBorder="1" applyAlignment="1">
      <alignment vertical="center" wrapText="1"/>
    </xf>
    <xf numFmtId="0" fontId="10" fillId="0" borderId="1" xfId="1" applyFont="1" applyBorder="1" applyAlignment="1">
      <alignment horizontal="left" vertical="top" wrapText="1"/>
    </xf>
    <xf numFmtId="0" fontId="21" fillId="0" borderId="17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17" xfId="2" applyFont="1" applyBorder="1" applyAlignment="1">
      <alignment horizontal="left" vertical="center" wrapText="1"/>
    </xf>
    <xf numFmtId="0" fontId="10" fillId="0" borderId="31" xfId="0" applyFont="1" applyBorder="1" applyAlignment="1">
      <alignment vertical="top" wrapText="1"/>
    </xf>
    <xf numFmtId="0" fontId="2" fillId="0" borderId="31" xfId="1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17" xfId="1" applyFont="1" applyBorder="1" applyAlignment="1">
      <alignment vertical="center" wrapText="1"/>
    </xf>
    <xf numFmtId="0" fontId="23" fillId="0" borderId="17" xfId="0" applyFont="1" applyBorder="1" applyAlignment="1">
      <alignment horizontal="right" wrapText="1"/>
    </xf>
    <xf numFmtId="0" fontId="9" fillId="0" borderId="9" xfId="1" applyFont="1" applyBorder="1" applyAlignment="1">
      <alignment horizontal="left" vertical="top" wrapText="1"/>
    </xf>
    <xf numFmtId="0" fontId="9" fillId="0" borderId="0" xfId="1" applyFont="1"/>
    <xf numFmtId="0" fontId="9" fillId="0" borderId="8" xfId="1" applyFont="1" applyBorder="1"/>
    <xf numFmtId="0" fontId="9" fillId="0" borderId="7" xfId="1" applyFont="1" applyBorder="1" applyAlignment="1">
      <alignment horizontal="left" vertical="top" wrapText="1"/>
    </xf>
    <xf numFmtId="0" fontId="9" fillId="0" borderId="6" xfId="1" applyFont="1" applyBorder="1"/>
    <xf numFmtId="0" fontId="9" fillId="0" borderId="33" xfId="1" applyFont="1" applyBorder="1"/>
    <xf numFmtId="0" fontId="9" fillId="0" borderId="25" xfId="1" applyFont="1" applyBorder="1" applyAlignment="1">
      <alignment horizontal="left" vertical="top" wrapText="1"/>
    </xf>
    <xf numFmtId="0" fontId="9" fillId="0" borderId="26" xfId="1" applyFont="1" applyBorder="1"/>
    <xf numFmtId="0" fontId="9" fillId="0" borderId="27" xfId="1" applyFont="1" applyBorder="1"/>
    <xf numFmtId="0" fontId="4" fillId="2" borderId="22" xfId="1" applyFont="1" applyFill="1" applyBorder="1" applyAlignment="1">
      <alignment horizontal="center" vertical="center"/>
    </xf>
    <xf numFmtId="0" fontId="2" fillId="0" borderId="0" xfId="1" applyFont="1"/>
    <xf numFmtId="0" fontId="2" fillId="0" borderId="3" xfId="1" applyFont="1" applyBorder="1"/>
    <xf numFmtId="0" fontId="4" fillId="2" borderId="4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left" vertical="top" wrapText="1"/>
    </xf>
    <xf numFmtId="0" fontId="9" fillId="0" borderId="11" xfId="1" applyFont="1" applyBorder="1"/>
    <xf numFmtId="0" fontId="9" fillId="0" borderId="10" xfId="1" applyFont="1" applyBorder="1"/>
    <xf numFmtId="0" fontId="5" fillId="0" borderId="0" xfId="1" applyFont="1" applyAlignment="1">
      <alignment horizontal="left" vertical="top" wrapText="1"/>
    </xf>
    <xf numFmtId="0" fontId="4" fillId="3" borderId="18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/>
    </xf>
    <xf numFmtId="0" fontId="2" fillId="4" borderId="21" xfId="1" applyFont="1" applyFill="1" applyBorder="1" applyAlignment="1">
      <alignment horizontal="center"/>
    </xf>
    <xf numFmtId="0" fontId="2" fillId="0" borderId="0" xfId="1" applyFont="1" applyAlignment="1">
      <alignment horizontal="right"/>
    </xf>
    <xf numFmtId="0" fontId="12" fillId="5" borderId="0" xfId="1" applyFont="1" applyFill="1" applyAlignment="1">
      <alignment horizontal="center" vertical="center" wrapText="1"/>
    </xf>
    <xf numFmtId="0" fontId="6" fillId="6" borderId="0" xfId="1" applyFont="1" applyFill="1" applyAlignment="1">
      <alignment horizontal="center"/>
    </xf>
    <xf numFmtId="0" fontId="6" fillId="5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4" fillId="4" borderId="16" xfId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3" fillId="0" borderId="3" xfId="1" applyFont="1" applyBorder="1"/>
    <xf numFmtId="0" fontId="3" fillId="0" borderId="0" xfId="1" applyFont="1" applyAlignment="1">
      <alignment horizontal="right"/>
    </xf>
    <xf numFmtId="0" fontId="1" fillId="0" borderId="0" xfId="1"/>
    <xf numFmtId="0" fontId="12" fillId="5" borderId="14" xfId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21" fillId="0" borderId="2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</cellXfs>
  <cellStyles count="3">
    <cellStyle name="Обычный" xfId="0" builtinId="0"/>
    <cellStyle name="Обычный 2" xfId="1" xr:uid="{00000000-0005-0000-0000-000002000000}"/>
    <cellStyle name="Обычный 4" xfId="2" xr:uid="{60077CB1-2974-4C48-AB71-8024D97E35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3"/>
  <sheetViews>
    <sheetView workbookViewId="0">
      <selection activeCell="B3" sqref="B3"/>
    </sheetView>
  </sheetViews>
  <sheetFormatPr baseColWidth="10" defaultColWidth="8.83203125" defaultRowHeight="18" x14ac:dyDescent="0.2"/>
  <cols>
    <col min="1" max="1" width="52.1640625" style="12" customWidth="1"/>
    <col min="2" max="2" width="90.5" style="13" customWidth="1"/>
  </cols>
  <sheetData>
    <row r="2" spans="1:2" x14ac:dyDescent="0.2">
      <c r="B2" s="12"/>
    </row>
    <row r="3" spans="1:2" ht="19" x14ac:dyDescent="0.2">
      <c r="A3" s="14" t="s">
        <v>20</v>
      </c>
      <c r="B3" s="116" t="s">
        <v>52</v>
      </c>
    </row>
    <row r="4" spans="1:2" ht="19" x14ac:dyDescent="0.2">
      <c r="A4" s="14" t="s">
        <v>33</v>
      </c>
      <c r="B4" s="15" t="s">
        <v>53</v>
      </c>
    </row>
    <row r="5" spans="1:2" ht="19" x14ac:dyDescent="0.2">
      <c r="A5" s="14" t="s">
        <v>48</v>
      </c>
      <c r="B5" s="60" t="s">
        <v>148</v>
      </c>
    </row>
    <row r="6" spans="1:2" ht="38" x14ac:dyDescent="0.2">
      <c r="A6" s="14" t="s">
        <v>25</v>
      </c>
      <c r="B6" s="60" t="s">
        <v>149</v>
      </c>
    </row>
    <row r="7" spans="1:2" ht="19" x14ac:dyDescent="0.2">
      <c r="A7" s="14" t="s">
        <v>34</v>
      </c>
      <c r="B7" s="60" t="s">
        <v>150</v>
      </c>
    </row>
    <row r="8" spans="1:2" ht="19" x14ac:dyDescent="0.2">
      <c r="A8" s="14" t="s">
        <v>21</v>
      </c>
      <c r="B8" s="60" t="s">
        <v>21</v>
      </c>
    </row>
    <row r="9" spans="1:2" ht="19" x14ac:dyDescent="0.2">
      <c r="A9" s="14" t="s">
        <v>22</v>
      </c>
      <c r="B9" s="15" t="s">
        <v>151</v>
      </c>
    </row>
    <row r="10" spans="1:2" ht="19" x14ac:dyDescent="0.2">
      <c r="A10" s="14" t="s">
        <v>24</v>
      </c>
      <c r="B10" s="15" t="s">
        <v>24</v>
      </c>
    </row>
    <row r="11" spans="1:2" ht="19" x14ac:dyDescent="0.2">
      <c r="A11" s="14" t="s">
        <v>38</v>
      </c>
      <c r="B11" s="15" t="s">
        <v>152</v>
      </c>
    </row>
    <row r="12" spans="1:2" ht="18" customHeight="1" x14ac:dyDescent="0.2">
      <c r="A12" s="14" t="s">
        <v>42</v>
      </c>
      <c r="B12" s="15" t="s">
        <v>153</v>
      </c>
    </row>
    <row r="13" spans="1:2" ht="19" x14ac:dyDescent="0.2">
      <c r="A13" s="14" t="s">
        <v>35</v>
      </c>
      <c r="B13" s="15" t="s">
        <v>35</v>
      </c>
    </row>
    <row r="14" spans="1:2" ht="19" x14ac:dyDescent="0.2">
      <c r="A14" s="14" t="s">
        <v>39</v>
      </c>
      <c r="B14" s="15" t="s">
        <v>154</v>
      </c>
    </row>
    <row r="15" spans="1:2" ht="19" x14ac:dyDescent="0.2">
      <c r="A15" s="14" t="s">
        <v>49</v>
      </c>
      <c r="B15" s="15">
        <v>5</v>
      </c>
    </row>
    <row r="16" spans="1:2" ht="19" x14ac:dyDescent="0.2">
      <c r="A16" s="14" t="s">
        <v>23</v>
      </c>
      <c r="B16" s="15">
        <v>5</v>
      </c>
    </row>
    <row r="17" spans="1:2" ht="21" customHeight="1" x14ac:dyDescent="0.2">
      <c r="A17" s="14" t="s">
        <v>51</v>
      </c>
      <c r="B17" s="15">
        <v>8</v>
      </c>
    </row>
    <row r="20" spans="1:2" ht="19" x14ac:dyDescent="0.2">
      <c r="A20" s="12" t="s">
        <v>44</v>
      </c>
    </row>
    <row r="21" spans="1:2" ht="19" x14ac:dyDescent="0.2">
      <c r="A21" s="12" t="s">
        <v>45</v>
      </c>
    </row>
    <row r="22" spans="1:2" ht="19" x14ac:dyDescent="0.2">
      <c r="A22" s="12" t="s">
        <v>46</v>
      </c>
    </row>
    <row r="23" spans="1:2" ht="19" x14ac:dyDescent="0.2">
      <c r="A23" s="12" t="s">
        <v>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"/>
  <sheetViews>
    <sheetView topLeftCell="A126" zoomScaleNormal="70" workbookViewId="0">
      <selection activeCell="B139" sqref="B139:B140"/>
    </sheetView>
  </sheetViews>
  <sheetFormatPr baseColWidth="10" defaultColWidth="14.5" defaultRowHeight="15" customHeight="1" x14ac:dyDescent="0.2"/>
  <cols>
    <col min="1" max="1" width="5.1640625" style="10" customWidth="1"/>
    <col min="2" max="2" width="52" style="10" customWidth="1"/>
    <col min="3" max="3" width="30.83203125" style="10" customWidth="1"/>
    <col min="4" max="4" width="22" style="10" customWidth="1"/>
    <col min="5" max="5" width="15.5" style="10" customWidth="1"/>
    <col min="6" max="6" width="19.6640625" style="10" bestFit="1" customWidth="1"/>
    <col min="7" max="7" width="14.5" style="10" customWidth="1"/>
    <col min="8" max="8" width="25" style="10" bestFit="1" customWidth="1"/>
    <col min="9" max="10" width="8.6640625" style="1" customWidth="1"/>
    <col min="11" max="16384" width="14.5" style="1"/>
  </cols>
  <sheetData>
    <row r="1" spans="1:9" x14ac:dyDescent="0.2">
      <c r="A1" s="137"/>
      <c r="B1" s="127"/>
      <c r="C1" s="127"/>
      <c r="D1" s="127"/>
      <c r="E1" s="127"/>
      <c r="F1" s="127"/>
      <c r="G1" s="127"/>
      <c r="H1" s="127"/>
    </row>
    <row r="2" spans="1:9" ht="20" x14ac:dyDescent="0.2">
      <c r="A2" s="139" t="s">
        <v>31</v>
      </c>
      <c r="B2" s="139"/>
      <c r="C2" s="139"/>
      <c r="D2" s="139"/>
      <c r="E2" s="139"/>
      <c r="F2" s="139"/>
      <c r="G2" s="139"/>
      <c r="H2" s="139"/>
    </row>
    <row r="3" spans="1:9" ht="21" customHeight="1" x14ac:dyDescent="0.2">
      <c r="A3" s="140" t="str">
        <f>'Информация о Чемпионате'!B4</f>
        <v>Региональный этап</v>
      </c>
      <c r="B3" s="140"/>
      <c r="C3" s="140"/>
      <c r="D3" s="140"/>
      <c r="E3" s="140"/>
      <c r="F3" s="140"/>
      <c r="G3" s="140"/>
      <c r="H3" s="140"/>
      <c r="I3" s="11"/>
    </row>
    <row r="4" spans="1:9" ht="20" x14ac:dyDescent="0.2">
      <c r="A4" s="139" t="s">
        <v>32</v>
      </c>
      <c r="B4" s="139"/>
      <c r="C4" s="139"/>
      <c r="D4" s="139"/>
      <c r="E4" s="139"/>
      <c r="F4" s="139"/>
      <c r="G4" s="139"/>
      <c r="H4" s="139"/>
    </row>
    <row r="5" spans="1:9" ht="22.5" customHeight="1" x14ac:dyDescent="0.2">
      <c r="A5" s="138" t="str">
        <f>'Информация о Чемпионате'!B3</f>
        <v>Программные решения для бизнеса</v>
      </c>
      <c r="B5" s="138"/>
      <c r="C5" s="138"/>
      <c r="D5" s="138"/>
      <c r="E5" s="138"/>
      <c r="F5" s="138"/>
      <c r="G5" s="138"/>
      <c r="H5" s="138"/>
    </row>
    <row r="6" spans="1:9" x14ac:dyDescent="0.2">
      <c r="A6" s="133" t="s">
        <v>11</v>
      </c>
      <c r="B6" s="127"/>
      <c r="C6" s="127"/>
      <c r="D6" s="127"/>
      <c r="E6" s="127"/>
      <c r="F6" s="127"/>
      <c r="G6" s="127"/>
      <c r="H6" s="127"/>
    </row>
    <row r="7" spans="1:9" ht="15.75" customHeight="1" x14ac:dyDescent="0.2">
      <c r="A7" s="133" t="s">
        <v>29</v>
      </c>
      <c r="B7" s="133"/>
      <c r="C7" s="141" t="str">
        <f>'Информация о Чемпионате'!B5</f>
        <v>Наименование субъекта РФ</v>
      </c>
      <c r="D7" s="141"/>
      <c r="E7" s="141"/>
      <c r="F7" s="141"/>
      <c r="G7" s="141"/>
      <c r="H7" s="141"/>
    </row>
    <row r="8" spans="1:9" ht="15.75" customHeight="1" x14ac:dyDescent="0.2">
      <c r="A8" s="133" t="s">
        <v>30</v>
      </c>
      <c r="B8" s="133"/>
      <c r="C8" s="133"/>
      <c r="D8" s="141" t="str">
        <f>'Информация о Чемпионате'!B6</f>
        <v>Наименование организации</v>
      </c>
      <c r="E8" s="141"/>
      <c r="F8" s="141"/>
      <c r="G8" s="141"/>
      <c r="H8" s="141"/>
    </row>
    <row r="9" spans="1:9" ht="15.75" customHeight="1" x14ac:dyDescent="0.2">
      <c r="A9" s="133" t="s">
        <v>26</v>
      </c>
      <c r="B9" s="133"/>
      <c r="C9" s="133" t="str">
        <f>'Информация о Чемпионате'!B7</f>
        <v>город, улица, дом.</v>
      </c>
      <c r="D9" s="133"/>
      <c r="E9" s="133"/>
      <c r="F9" s="133"/>
      <c r="G9" s="133"/>
      <c r="H9" s="133"/>
    </row>
    <row r="10" spans="1:9" ht="15.75" customHeight="1" x14ac:dyDescent="0.2">
      <c r="A10" s="133" t="s">
        <v>28</v>
      </c>
      <c r="B10" s="133"/>
      <c r="C10" s="133" t="str">
        <f>'Информация о Чемпионате'!B9</f>
        <v>ФИО ГЭ</v>
      </c>
      <c r="D10" s="133"/>
      <c r="E10" s="133" t="str">
        <f>'Информация о Чемпионате'!B10</f>
        <v>Электронная почта ГЭ</v>
      </c>
      <c r="F10" s="133"/>
      <c r="G10" s="133" t="str">
        <f>'Информация о Чемпионате'!B11</f>
        <v>Мобильный телефон ГЭ</v>
      </c>
      <c r="H10" s="133"/>
    </row>
    <row r="11" spans="1:9" ht="15.75" customHeight="1" x14ac:dyDescent="0.2">
      <c r="A11" s="133" t="s">
        <v>36</v>
      </c>
      <c r="B11" s="133"/>
      <c r="C11" s="133" t="str">
        <f>'Информация о Чемпионате'!B12</f>
        <v>ФИО ТАП</v>
      </c>
      <c r="D11" s="133"/>
      <c r="E11" s="133" t="str">
        <f>'Информация о Чемпионате'!B13</f>
        <v>Электронная почта ТАП</v>
      </c>
      <c r="F11" s="133"/>
      <c r="G11" s="133" t="str">
        <f>'Информация о Чемпионате'!B14</f>
        <v>Мобильный телефон ТАП</v>
      </c>
      <c r="H11" s="133"/>
    </row>
    <row r="12" spans="1:9" ht="15.75" customHeight="1" x14ac:dyDescent="0.2">
      <c r="A12" s="133" t="s">
        <v>43</v>
      </c>
      <c r="B12" s="133"/>
      <c r="C12" s="133">
        <f>'Информация о Чемпионате'!B17</f>
        <v>8</v>
      </c>
      <c r="D12" s="133"/>
      <c r="E12" s="133"/>
      <c r="F12" s="133"/>
      <c r="G12" s="133"/>
      <c r="H12" s="133"/>
    </row>
    <row r="13" spans="1:9" ht="15.75" customHeight="1" x14ac:dyDescent="0.2">
      <c r="A13" s="133" t="s">
        <v>50</v>
      </c>
      <c r="B13" s="133"/>
      <c r="C13" s="133">
        <f>'Информация о Чемпионате'!B15</f>
        <v>5</v>
      </c>
      <c r="D13" s="133"/>
      <c r="E13" s="133"/>
      <c r="F13" s="133"/>
      <c r="G13" s="133"/>
      <c r="H13" s="133"/>
    </row>
    <row r="14" spans="1:9" ht="15.75" customHeight="1" x14ac:dyDescent="0.2">
      <c r="A14" s="133" t="s">
        <v>19</v>
      </c>
      <c r="B14" s="133"/>
      <c r="C14" s="133">
        <f>'Информация о Чемпионате'!B16</f>
        <v>5</v>
      </c>
      <c r="D14" s="133"/>
      <c r="E14" s="133"/>
      <c r="F14" s="133"/>
      <c r="G14" s="133"/>
      <c r="H14" s="133"/>
    </row>
    <row r="15" spans="1:9" ht="15.75" customHeight="1" x14ac:dyDescent="0.2">
      <c r="A15" s="133" t="s">
        <v>27</v>
      </c>
      <c r="B15" s="133"/>
      <c r="C15" s="133" t="str">
        <f>'Информация о Чемпионате'!B8</f>
        <v>Даты проведения</v>
      </c>
      <c r="D15" s="133"/>
      <c r="E15" s="133"/>
      <c r="F15" s="133"/>
      <c r="G15" s="133"/>
      <c r="H15" s="133"/>
    </row>
    <row r="16" spans="1:9" ht="21" thickBot="1" x14ac:dyDescent="0.25">
      <c r="A16" s="134" t="s">
        <v>16</v>
      </c>
      <c r="B16" s="135"/>
      <c r="C16" s="135"/>
      <c r="D16" s="135"/>
      <c r="E16" s="135"/>
      <c r="F16" s="135"/>
      <c r="G16" s="135"/>
      <c r="H16" s="136"/>
    </row>
    <row r="17" spans="1:8" ht="15" customHeight="1" x14ac:dyDescent="0.2">
      <c r="A17" s="130" t="s">
        <v>9</v>
      </c>
      <c r="B17" s="131"/>
      <c r="C17" s="131"/>
      <c r="D17" s="131"/>
      <c r="E17" s="131"/>
      <c r="F17" s="131"/>
      <c r="G17" s="131"/>
      <c r="H17" s="132"/>
    </row>
    <row r="18" spans="1:8" ht="15" customHeight="1" x14ac:dyDescent="0.2">
      <c r="A18" s="117" t="str">
        <f>_xlfn.CONCAT("Площадь зоны: не менее ",$C$13*8," кв.м.")</f>
        <v>Площадь зоны: не менее 40 кв.м.</v>
      </c>
      <c r="B18" s="118"/>
      <c r="C18" s="118"/>
      <c r="D18" s="118"/>
      <c r="E18" s="118"/>
      <c r="F18" s="118"/>
      <c r="G18" s="118"/>
      <c r="H18" s="119"/>
    </row>
    <row r="19" spans="1:8" ht="15" customHeight="1" x14ac:dyDescent="0.2">
      <c r="A19" s="117" t="s">
        <v>196</v>
      </c>
      <c r="B19" s="118"/>
      <c r="C19" s="118"/>
      <c r="D19" s="118"/>
      <c r="E19" s="118"/>
      <c r="F19" s="118"/>
      <c r="G19" s="118"/>
      <c r="H19" s="119"/>
    </row>
    <row r="20" spans="1:8" ht="15" customHeight="1" x14ac:dyDescent="0.2">
      <c r="A20" s="117" t="s">
        <v>8</v>
      </c>
      <c r="B20" s="118"/>
      <c r="C20" s="118"/>
      <c r="D20" s="118"/>
      <c r="E20" s="118"/>
      <c r="F20" s="118"/>
      <c r="G20" s="118"/>
      <c r="H20" s="119"/>
    </row>
    <row r="21" spans="1:8" ht="15" customHeight="1" x14ac:dyDescent="0.2">
      <c r="A21" s="117" t="s">
        <v>197</v>
      </c>
      <c r="B21" s="118"/>
      <c r="C21" s="118"/>
      <c r="D21" s="118"/>
      <c r="E21" s="118"/>
      <c r="F21" s="118"/>
      <c r="G21" s="118"/>
      <c r="H21" s="119"/>
    </row>
    <row r="22" spans="1:8" ht="15" customHeight="1" x14ac:dyDescent="0.2">
      <c r="A22" s="117" t="s">
        <v>40</v>
      </c>
      <c r="B22" s="118"/>
      <c r="C22" s="118"/>
      <c r="D22" s="118"/>
      <c r="E22" s="118"/>
      <c r="F22" s="118"/>
      <c r="G22" s="118"/>
      <c r="H22" s="119"/>
    </row>
    <row r="23" spans="1:8" ht="15" customHeight="1" x14ac:dyDescent="0.2">
      <c r="A23" s="117" t="s">
        <v>62</v>
      </c>
      <c r="B23" s="118"/>
      <c r="C23" s="118"/>
      <c r="D23" s="118"/>
      <c r="E23" s="118"/>
      <c r="F23" s="118"/>
      <c r="G23" s="118"/>
      <c r="H23" s="119"/>
    </row>
    <row r="24" spans="1:8" ht="15" customHeight="1" x14ac:dyDescent="0.2">
      <c r="A24" s="117" t="s">
        <v>55</v>
      </c>
      <c r="B24" s="118"/>
      <c r="C24" s="118"/>
      <c r="D24" s="118"/>
      <c r="E24" s="118"/>
      <c r="F24" s="118"/>
      <c r="G24" s="118"/>
      <c r="H24" s="119"/>
    </row>
    <row r="25" spans="1:8" ht="15.75" customHeight="1" thickBot="1" x14ac:dyDescent="0.25">
      <c r="A25" s="120" t="s">
        <v>56</v>
      </c>
      <c r="B25" s="121"/>
      <c r="C25" s="121"/>
      <c r="D25" s="121"/>
      <c r="E25" s="121"/>
      <c r="F25" s="121"/>
      <c r="G25" s="121"/>
      <c r="H25" s="122"/>
    </row>
    <row r="26" spans="1:8" ht="60" x14ac:dyDescent="0.2">
      <c r="A26" s="7" t="s">
        <v>6</v>
      </c>
      <c r="B26" s="5" t="s">
        <v>5</v>
      </c>
      <c r="C26" s="5" t="s">
        <v>4</v>
      </c>
      <c r="D26" s="6" t="s">
        <v>3</v>
      </c>
      <c r="E26" s="6" t="s">
        <v>2</v>
      </c>
      <c r="F26" s="6" t="s">
        <v>1</v>
      </c>
      <c r="G26" s="24" t="s">
        <v>0</v>
      </c>
      <c r="H26" s="25" t="s">
        <v>10</v>
      </c>
    </row>
    <row r="27" spans="1:8" ht="285" x14ac:dyDescent="0.2">
      <c r="A27" s="20">
        <v>1</v>
      </c>
      <c r="B27" s="82" t="s">
        <v>71</v>
      </c>
      <c r="C27" s="83" t="s">
        <v>184</v>
      </c>
      <c r="D27" s="84" t="s">
        <v>186</v>
      </c>
      <c r="E27" s="85">
        <v>1</v>
      </c>
      <c r="F27" s="85" t="s">
        <v>187</v>
      </c>
      <c r="G27" s="85">
        <v>1</v>
      </c>
      <c r="H27" s="86"/>
    </row>
    <row r="28" spans="1:8" x14ac:dyDescent="0.2">
      <c r="A28" s="20">
        <v>2</v>
      </c>
      <c r="B28" s="82" t="s">
        <v>72</v>
      </c>
      <c r="C28" s="87" t="s">
        <v>102</v>
      </c>
      <c r="D28" s="84" t="s">
        <v>186</v>
      </c>
      <c r="E28" s="85">
        <v>1</v>
      </c>
      <c r="F28" s="85" t="s">
        <v>187</v>
      </c>
      <c r="G28" s="85">
        <v>1</v>
      </c>
      <c r="H28" s="86"/>
    </row>
    <row r="29" spans="1:8" ht="30" x14ac:dyDescent="0.2">
      <c r="A29" s="20">
        <v>3</v>
      </c>
      <c r="B29" s="88" t="s">
        <v>188</v>
      </c>
      <c r="C29" s="80" t="s">
        <v>245</v>
      </c>
      <c r="D29" s="84" t="s">
        <v>186</v>
      </c>
      <c r="E29" s="85">
        <v>2</v>
      </c>
      <c r="F29" s="85" t="s">
        <v>187</v>
      </c>
      <c r="G29" s="85">
        <v>2</v>
      </c>
      <c r="H29" s="86"/>
    </row>
    <row r="30" spans="1:8" ht="30" x14ac:dyDescent="0.2">
      <c r="A30" s="20">
        <v>4</v>
      </c>
      <c r="B30" s="82" t="s">
        <v>74</v>
      </c>
      <c r="C30" s="80" t="s">
        <v>245</v>
      </c>
      <c r="D30" s="84" t="s">
        <v>186</v>
      </c>
      <c r="E30" s="85">
        <v>1</v>
      </c>
      <c r="F30" s="85" t="s">
        <v>187</v>
      </c>
      <c r="G30" s="85">
        <v>1</v>
      </c>
      <c r="H30" s="86"/>
    </row>
    <row r="31" spans="1:8" ht="30" x14ac:dyDescent="0.2">
      <c r="A31" s="20">
        <v>5</v>
      </c>
      <c r="B31" s="82" t="s">
        <v>75</v>
      </c>
      <c r="C31" s="80" t="s">
        <v>245</v>
      </c>
      <c r="D31" s="84" t="s">
        <v>186</v>
      </c>
      <c r="E31" s="85">
        <v>1</v>
      </c>
      <c r="F31" s="85" t="s">
        <v>187</v>
      </c>
      <c r="G31" s="85">
        <v>1</v>
      </c>
      <c r="H31" s="86"/>
    </row>
    <row r="32" spans="1:8" ht="30" x14ac:dyDescent="0.2">
      <c r="A32" s="20">
        <v>6</v>
      </c>
      <c r="B32" s="82" t="s">
        <v>189</v>
      </c>
      <c r="C32" s="80" t="s">
        <v>245</v>
      </c>
      <c r="D32" s="84" t="s">
        <v>186</v>
      </c>
      <c r="E32" s="85">
        <v>1</v>
      </c>
      <c r="F32" s="85" t="s">
        <v>187</v>
      </c>
      <c r="G32" s="85">
        <v>1</v>
      </c>
      <c r="H32" s="86"/>
    </row>
    <row r="33" spans="1:8" ht="30" x14ac:dyDescent="0.2">
      <c r="A33" s="20">
        <v>7</v>
      </c>
      <c r="B33" s="82" t="s">
        <v>77</v>
      </c>
      <c r="C33" s="88" t="s">
        <v>103</v>
      </c>
      <c r="D33" s="84" t="s">
        <v>186</v>
      </c>
      <c r="E33" s="85">
        <v>3</v>
      </c>
      <c r="F33" s="85" t="s">
        <v>187</v>
      </c>
      <c r="G33" s="85">
        <v>3</v>
      </c>
      <c r="H33" s="86"/>
    </row>
    <row r="34" spans="1:8" x14ac:dyDescent="0.2">
      <c r="A34" s="20">
        <v>8</v>
      </c>
      <c r="B34" s="82" t="s">
        <v>79</v>
      </c>
      <c r="C34" s="89" t="s">
        <v>105</v>
      </c>
      <c r="D34" s="84" t="s">
        <v>186</v>
      </c>
      <c r="E34" s="85">
        <v>1</v>
      </c>
      <c r="F34" s="85" t="s">
        <v>187</v>
      </c>
      <c r="G34" s="85">
        <v>1</v>
      </c>
      <c r="H34" s="86"/>
    </row>
    <row r="35" spans="1:8" ht="60" x14ac:dyDescent="0.2">
      <c r="A35" s="20">
        <v>9</v>
      </c>
      <c r="B35" s="90" t="s">
        <v>80</v>
      </c>
      <c r="C35" s="149" t="s">
        <v>246</v>
      </c>
      <c r="D35" s="92" t="s">
        <v>125</v>
      </c>
      <c r="E35" s="93">
        <v>1</v>
      </c>
      <c r="F35" s="94" t="s">
        <v>187</v>
      </c>
      <c r="G35" s="92">
        <v>1</v>
      </c>
      <c r="H35" s="86"/>
    </row>
    <row r="36" spans="1:8" ht="60" x14ac:dyDescent="0.2">
      <c r="A36" s="20">
        <v>10</v>
      </c>
      <c r="B36" s="90" t="s">
        <v>81</v>
      </c>
      <c r="C36" s="150" t="s">
        <v>247</v>
      </c>
      <c r="D36" s="96" t="s">
        <v>125</v>
      </c>
      <c r="E36" s="92">
        <v>1</v>
      </c>
      <c r="F36" s="85" t="s">
        <v>187</v>
      </c>
      <c r="G36" s="92">
        <v>1</v>
      </c>
      <c r="H36" s="86"/>
    </row>
    <row r="37" spans="1:8" ht="45" x14ac:dyDescent="0.2">
      <c r="A37" s="20">
        <v>11</v>
      </c>
      <c r="B37" s="90" t="s">
        <v>82</v>
      </c>
      <c r="C37" s="149" t="s">
        <v>248</v>
      </c>
      <c r="D37" s="92" t="s">
        <v>125</v>
      </c>
      <c r="E37" s="96">
        <v>1</v>
      </c>
      <c r="F37" s="85" t="s">
        <v>187</v>
      </c>
      <c r="G37" s="92">
        <v>1</v>
      </c>
      <c r="H37" s="86"/>
    </row>
    <row r="38" spans="1:8" ht="60" x14ac:dyDescent="0.2">
      <c r="A38" s="20">
        <v>12</v>
      </c>
      <c r="B38" s="90" t="s">
        <v>83</v>
      </c>
      <c r="C38" s="150" t="s">
        <v>249</v>
      </c>
      <c r="D38" s="92" t="s">
        <v>125</v>
      </c>
      <c r="E38" s="92">
        <v>1</v>
      </c>
      <c r="F38" s="94" t="s">
        <v>187</v>
      </c>
      <c r="G38" s="92">
        <v>1</v>
      </c>
      <c r="H38" s="86"/>
    </row>
    <row r="39" spans="1:8" ht="45" x14ac:dyDescent="0.2">
      <c r="A39" s="20">
        <v>13</v>
      </c>
      <c r="B39" s="90" t="s">
        <v>84</v>
      </c>
      <c r="C39" s="150" t="s">
        <v>250</v>
      </c>
      <c r="D39" s="92" t="s">
        <v>125</v>
      </c>
      <c r="E39" s="97">
        <v>1</v>
      </c>
      <c r="F39" s="85" t="s">
        <v>187</v>
      </c>
      <c r="G39" s="92">
        <v>1</v>
      </c>
      <c r="H39" s="86"/>
    </row>
    <row r="40" spans="1:8" ht="30" x14ac:dyDescent="0.2">
      <c r="A40" s="20">
        <v>14</v>
      </c>
      <c r="B40" s="98" t="s">
        <v>57</v>
      </c>
      <c r="C40" s="151" t="s">
        <v>245</v>
      </c>
      <c r="D40" s="99" t="s">
        <v>186</v>
      </c>
      <c r="E40" s="100">
        <f>ROUNDUP(E41/2,0)</f>
        <v>7</v>
      </c>
      <c r="F40" s="85" t="s">
        <v>187</v>
      </c>
      <c r="G40" s="100">
        <f>ROUNDUP(G41/2,0)</f>
        <v>7</v>
      </c>
      <c r="H40" s="86"/>
    </row>
    <row r="41" spans="1:8" ht="30" x14ac:dyDescent="0.2">
      <c r="A41" s="20">
        <v>15</v>
      </c>
      <c r="B41" s="98" t="s">
        <v>190</v>
      </c>
      <c r="C41" s="151" t="s">
        <v>245</v>
      </c>
      <c r="D41" s="84" t="s">
        <v>186</v>
      </c>
      <c r="E41" s="85">
        <f>$C$12+$C$13</f>
        <v>13</v>
      </c>
      <c r="F41" s="85" t="s">
        <v>187</v>
      </c>
      <c r="G41" s="85">
        <f>$C$12+$C$13</f>
        <v>13</v>
      </c>
      <c r="H41" s="86"/>
    </row>
    <row r="42" spans="1:8" ht="30" x14ac:dyDescent="0.2">
      <c r="A42" s="20">
        <v>16</v>
      </c>
      <c r="B42" s="101" t="s">
        <v>129</v>
      </c>
      <c r="C42" s="151" t="s">
        <v>245</v>
      </c>
      <c r="D42" s="102" t="s">
        <v>131</v>
      </c>
      <c r="E42" s="84">
        <v>1</v>
      </c>
      <c r="F42" s="84" t="s">
        <v>61</v>
      </c>
      <c r="G42" s="84">
        <f t="shared" ref="G42:G43" si="0">E42</f>
        <v>1</v>
      </c>
      <c r="H42" s="86"/>
    </row>
    <row r="43" spans="1:8" ht="30" x14ac:dyDescent="0.2">
      <c r="A43" s="20">
        <v>17</v>
      </c>
      <c r="B43" s="101" t="s">
        <v>130</v>
      </c>
      <c r="C43" s="151" t="s">
        <v>245</v>
      </c>
      <c r="D43" s="102" t="s">
        <v>131</v>
      </c>
      <c r="E43" s="84">
        <v>1</v>
      </c>
      <c r="F43" s="84" t="s">
        <v>61</v>
      </c>
      <c r="G43" s="84">
        <f t="shared" si="0"/>
        <v>1</v>
      </c>
      <c r="H43" s="86"/>
    </row>
    <row r="44" spans="1:8" ht="30" x14ac:dyDescent="0.2">
      <c r="A44" s="20">
        <v>18</v>
      </c>
      <c r="B44" s="75" t="s">
        <v>191</v>
      </c>
      <c r="C44" s="151" t="s">
        <v>245</v>
      </c>
      <c r="D44" s="76" t="s">
        <v>60</v>
      </c>
      <c r="E44" s="76">
        <v>1</v>
      </c>
      <c r="F44" s="72" t="s">
        <v>61</v>
      </c>
      <c r="G44" s="76">
        <v>1</v>
      </c>
      <c r="H44" s="86"/>
    </row>
    <row r="45" spans="1:8" ht="23.25" customHeight="1" thickBot="1" x14ac:dyDescent="0.25">
      <c r="A45" s="129" t="s">
        <v>17</v>
      </c>
      <c r="B45" s="128"/>
      <c r="C45" s="128"/>
      <c r="D45" s="128"/>
      <c r="E45" s="128"/>
      <c r="F45" s="128"/>
      <c r="G45" s="128"/>
      <c r="H45" s="127"/>
    </row>
    <row r="46" spans="1:8" ht="15.75" customHeight="1" x14ac:dyDescent="0.2">
      <c r="A46" s="130" t="s">
        <v>9</v>
      </c>
      <c r="B46" s="131"/>
      <c r="C46" s="131"/>
      <c r="D46" s="131"/>
      <c r="E46" s="131"/>
      <c r="F46" s="131"/>
      <c r="G46" s="131"/>
      <c r="H46" s="132"/>
    </row>
    <row r="47" spans="1:8" ht="15" customHeight="1" x14ac:dyDescent="0.2">
      <c r="A47" s="117" t="str">
        <f>_xlfn.CONCAT("Площадь зоны: не менее ",$C$13*3," кв.м.")</f>
        <v>Площадь зоны: не менее 15 кв.м.</v>
      </c>
      <c r="B47" s="118"/>
      <c r="C47" s="118"/>
      <c r="D47" s="118"/>
      <c r="E47" s="118"/>
      <c r="F47" s="118"/>
      <c r="G47" s="118"/>
      <c r="H47" s="119"/>
    </row>
    <row r="48" spans="1:8" ht="15" customHeight="1" x14ac:dyDescent="0.2">
      <c r="A48" s="117" t="s">
        <v>192</v>
      </c>
      <c r="B48" s="118"/>
      <c r="C48" s="118"/>
      <c r="D48" s="118"/>
      <c r="E48" s="118"/>
      <c r="F48" s="118"/>
      <c r="G48" s="118"/>
      <c r="H48" s="119"/>
    </row>
    <row r="49" spans="1:8" ht="15" customHeight="1" x14ac:dyDescent="0.2">
      <c r="A49" s="117" t="s">
        <v>193</v>
      </c>
      <c r="B49" s="118"/>
      <c r="C49" s="118"/>
      <c r="D49" s="118"/>
      <c r="E49" s="118"/>
      <c r="F49" s="118"/>
      <c r="G49" s="118"/>
      <c r="H49" s="119"/>
    </row>
    <row r="50" spans="1:8" ht="15" customHeight="1" x14ac:dyDescent="0.2">
      <c r="A50" s="117" t="s">
        <v>194</v>
      </c>
      <c r="B50" s="118"/>
      <c r="C50" s="118"/>
      <c r="D50" s="118"/>
      <c r="E50" s="118"/>
      <c r="F50" s="118"/>
      <c r="G50" s="118"/>
      <c r="H50" s="119"/>
    </row>
    <row r="51" spans="1:8" ht="15" customHeight="1" x14ac:dyDescent="0.2">
      <c r="A51" s="117" t="s">
        <v>195</v>
      </c>
      <c r="B51" s="118"/>
      <c r="C51" s="118"/>
      <c r="D51" s="118"/>
      <c r="E51" s="118"/>
      <c r="F51" s="118"/>
      <c r="G51" s="118"/>
      <c r="H51" s="119"/>
    </row>
    <row r="52" spans="1:8" ht="15" customHeight="1" x14ac:dyDescent="0.2">
      <c r="A52" s="117" t="s">
        <v>54</v>
      </c>
      <c r="B52" s="118"/>
      <c r="C52" s="118"/>
      <c r="D52" s="118"/>
      <c r="E52" s="118"/>
      <c r="F52" s="118"/>
      <c r="G52" s="118"/>
      <c r="H52" s="119"/>
    </row>
    <row r="53" spans="1:8" ht="15" customHeight="1" x14ac:dyDescent="0.2">
      <c r="A53" s="117" t="s">
        <v>70</v>
      </c>
      <c r="B53" s="118"/>
      <c r="C53" s="118"/>
      <c r="D53" s="118"/>
      <c r="E53" s="118"/>
      <c r="F53" s="118"/>
      <c r="G53" s="118"/>
      <c r="H53" s="119"/>
    </row>
    <row r="54" spans="1:8" ht="15.75" customHeight="1" thickBot="1" x14ac:dyDescent="0.25">
      <c r="A54" s="123" t="s">
        <v>56</v>
      </c>
      <c r="B54" s="124"/>
      <c r="C54" s="124"/>
      <c r="D54" s="124"/>
      <c r="E54" s="124"/>
      <c r="F54" s="124"/>
      <c r="G54" s="124"/>
      <c r="H54" s="125"/>
    </row>
    <row r="55" spans="1:8" ht="60" x14ac:dyDescent="0.2">
      <c r="A55" s="6" t="s">
        <v>6</v>
      </c>
      <c r="B55" s="6" t="s">
        <v>5</v>
      </c>
      <c r="C55" s="5" t="s">
        <v>4</v>
      </c>
      <c r="D55" s="6" t="s">
        <v>3</v>
      </c>
      <c r="E55" s="5" t="s">
        <v>2</v>
      </c>
      <c r="F55" s="5" t="s">
        <v>1</v>
      </c>
      <c r="G55" s="59" t="s">
        <v>0</v>
      </c>
      <c r="H55" s="57" t="s">
        <v>10</v>
      </c>
    </row>
    <row r="56" spans="1:8" ht="30" x14ac:dyDescent="0.2">
      <c r="A56" s="21">
        <v>1</v>
      </c>
      <c r="B56" s="103" t="s">
        <v>63</v>
      </c>
      <c r="C56" s="88" t="s">
        <v>245</v>
      </c>
      <c r="D56" s="85" t="s">
        <v>60</v>
      </c>
      <c r="E56" s="85">
        <f>$C$13</f>
        <v>5</v>
      </c>
      <c r="F56" s="85" t="s">
        <v>61</v>
      </c>
      <c r="G56" s="100">
        <f>$C$13</f>
        <v>5</v>
      </c>
      <c r="H56" s="104"/>
    </row>
    <row r="57" spans="1:8" ht="30" x14ac:dyDescent="0.2">
      <c r="A57" s="21">
        <v>2</v>
      </c>
      <c r="B57" s="103" t="s">
        <v>57</v>
      </c>
      <c r="C57" s="151" t="s">
        <v>245</v>
      </c>
      <c r="D57" s="85" t="s">
        <v>60</v>
      </c>
      <c r="E57" s="85">
        <f>ROUNDUP(E58/2,0)</f>
        <v>3</v>
      </c>
      <c r="F57" s="85" t="s">
        <v>61</v>
      </c>
      <c r="G57" s="100">
        <f>ROUNDUP(G58/2,0)</f>
        <v>3</v>
      </c>
      <c r="H57" s="104"/>
    </row>
    <row r="58" spans="1:8" ht="30" x14ac:dyDescent="0.2">
      <c r="A58" s="21">
        <v>3</v>
      </c>
      <c r="B58" s="103" t="s">
        <v>190</v>
      </c>
      <c r="C58" s="151" t="s">
        <v>245</v>
      </c>
      <c r="D58" s="85" t="s">
        <v>60</v>
      </c>
      <c r="E58" s="85">
        <f>$C$13</f>
        <v>5</v>
      </c>
      <c r="F58" s="85" t="s">
        <v>61</v>
      </c>
      <c r="G58" s="100">
        <f>$C$13</f>
        <v>5</v>
      </c>
      <c r="H58" s="104"/>
    </row>
    <row r="59" spans="1:8" ht="30" x14ac:dyDescent="0.2">
      <c r="A59" s="21">
        <v>4</v>
      </c>
      <c r="B59" s="103" t="s">
        <v>64</v>
      </c>
      <c r="C59" s="151" t="s">
        <v>245</v>
      </c>
      <c r="D59" s="85" t="s">
        <v>68</v>
      </c>
      <c r="E59" s="85">
        <v>1</v>
      </c>
      <c r="F59" s="85" t="s">
        <v>61</v>
      </c>
      <c r="G59" s="100">
        <v>1</v>
      </c>
      <c r="H59" s="104"/>
    </row>
    <row r="60" spans="1:8" ht="16" x14ac:dyDescent="0.2">
      <c r="A60" s="21">
        <v>5</v>
      </c>
      <c r="B60" s="103" t="s">
        <v>65</v>
      </c>
      <c r="C60" s="81" t="s">
        <v>67</v>
      </c>
      <c r="D60" s="85" t="s">
        <v>60</v>
      </c>
      <c r="E60" s="85">
        <v>1</v>
      </c>
      <c r="F60" s="85" t="s">
        <v>61</v>
      </c>
      <c r="G60" s="85">
        <v>1</v>
      </c>
      <c r="H60" s="104"/>
    </row>
    <row r="61" spans="1:8" ht="30" x14ac:dyDescent="0.2">
      <c r="A61" s="21">
        <v>6</v>
      </c>
      <c r="B61" s="103" t="s">
        <v>66</v>
      </c>
      <c r="C61" s="151" t="s">
        <v>245</v>
      </c>
      <c r="D61" s="85" t="s">
        <v>60</v>
      </c>
      <c r="E61" s="85">
        <v>1</v>
      </c>
      <c r="F61" s="85" t="s">
        <v>61</v>
      </c>
      <c r="G61" s="85">
        <v>1</v>
      </c>
      <c r="H61" s="104"/>
    </row>
    <row r="62" spans="1:8" ht="23.25" customHeight="1" thickBot="1" x14ac:dyDescent="0.25">
      <c r="A62" s="129" t="s">
        <v>18</v>
      </c>
      <c r="B62" s="128"/>
      <c r="C62" s="128"/>
      <c r="D62" s="128"/>
      <c r="E62" s="128"/>
      <c r="F62" s="128"/>
      <c r="G62" s="128"/>
      <c r="H62" s="127"/>
    </row>
    <row r="63" spans="1:8" ht="15.75" customHeight="1" x14ac:dyDescent="0.2">
      <c r="A63" s="130" t="s">
        <v>9</v>
      </c>
      <c r="B63" s="131"/>
      <c r="C63" s="131"/>
      <c r="D63" s="131"/>
      <c r="E63" s="131"/>
      <c r="F63" s="131"/>
      <c r="G63" s="131"/>
      <c r="H63" s="132"/>
    </row>
    <row r="64" spans="1:8" ht="15" customHeight="1" x14ac:dyDescent="0.2">
      <c r="A64" s="117" t="str">
        <f>_xlfn.CONCAT("Площадь зоны: не менее ",$C$13*4," кв.м.")</f>
        <v>Площадь зоны: не менее 20 кв.м.</v>
      </c>
      <c r="B64" s="118"/>
      <c r="C64" s="118"/>
      <c r="D64" s="118"/>
      <c r="E64" s="118"/>
      <c r="F64" s="118"/>
      <c r="G64" s="118"/>
      <c r="H64" s="119"/>
    </row>
    <row r="65" spans="1:8" ht="15" customHeight="1" x14ac:dyDescent="0.2">
      <c r="A65" s="117" t="s">
        <v>192</v>
      </c>
      <c r="B65" s="118"/>
      <c r="C65" s="118"/>
      <c r="D65" s="118"/>
      <c r="E65" s="118"/>
      <c r="F65" s="118"/>
      <c r="G65" s="118"/>
      <c r="H65" s="119"/>
    </row>
    <row r="66" spans="1:8" ht="15" customHeight="1" x14ac:dyDescent="0.2">
      <c r="A66" s="117" t="s">
        <v>199</v>
      </c>
      <c r="B66" s="118"/>
      <c r="C66" s="118"/>
      <c r="D66" s="118"/>
      <c r="E66" s="118"/>
      <c r="F66" s="118"/>
      <c r="G66" s="118"/>
      <c r="H66" s="119"/>
    </row>
    <row r="67" spans="1:8" ht="15" customHeight="1" x14ac:dyDescent="0.2">
      <c r="A67" s="117" t="str">
        <f>_xlfn.CONCAT("Электричество: ",ROUNDUP($C$13/4,0)+2," подключения к сети по 220 Вольт")</f>
        <v>Электричество: 4 подключения к сети по 220 Вольт</v>
      </c>
      <c r="B67" s="118"/>
      <c r="C67" s="118"/>
      <c r="D67" s="118"/>
      <c r="E67" s="118"/>
      <c r="F67" s="118"/>
      <c r="G67" s="118"/>
      <c r="H67" s="119"/>
    </row>
    <row r="68" spans="1:8" ht="15" customHeight="1" x14ac:dyDescent="0.2">
      <c r="A68" s="117" t="s">
        <v>195</v>
      </c>
      <c r="B68" s="118"/>
      <c r="C68" s="118"/>
      <c r="D68" s="118"/>
      <c r="E68" s="118"/>
      <c r="F68" s="118"/>
      <c r="G68" s="118"/>
      <c r="H68" s="119"/>
    </row>
    <row r="69" spans="1:8" ht="15" customHeight="1" x14ac:dyDescent="0.2">
      <c r="A69" s="117" t="s">
        <v>54</v>
      </c>
      <c r="B69" s="118"/>
      <c r="C69" s="118"/>
      <c r="D69" s="118"/>
      <c r="E69" s="118"/>
      <c r="F69" s="118"/>
      <c r="G69" s="118"/>
      <c r="H69" s="119"/>
    </row>
    <row r="70" spans="1:8" ht="15" customHeight="1" x14ac:dyDescent="0.2">
      <c r="A70" s="117" t="s">
        <v>70</v>
      </c>
      <c r="B70" s="118"/>
      <c r="C70" s="118"/>
      <c r="D70" s="118"/>
      <c r="E70" s="118"/>
      <c r="F70" s="118"/>
      <c r="G70" s="118"/>
      <c r="H70" s="119"/>
    </row>
    <row r="71" spans="1:8" ht="15.75" customHeight="1" thickBot="1" x14ac:dyDescent="0.25">
      <c r="A71" s="123" t="s">
        <v>56</v>
      </c>
      <c r="B71" s="124"/>
      <c r="C71" s="124"/>
      <c r="D71" s="124"/>
      <c r="E71" s="124"/>
      <c r="F71" s="124"/>
      <c r="G71" s="124"/>
      <c r="H71" s="125"/>
    </row>
    <row r="72" spans="1:8" ht="60" x14ac:dyDescent="0.2">
      <c r="A72" s="58" t="s">
        <v>6</v>
      </c>
      <c r="B72" s="57" t="s">
        <v>5</v>
      </c>
      <c r="C72" s="57" t="s">
        <v>4</v>
      </c>
      <c r="D72" s="57" t="s">
        <v>3</v>
      </c>
      <c r="E72" s="57" t="s">
        <v>2</v>
      </c>
      <c r="F72" s="53" t="s">
        <v>1</v>
      </c>
      <c r="G72" s="59" t="s">
        <v>0</v>
      </c>
      <c r="H72" s="57" t="s">
        <v>10</v>
      </c>
    </row>
    <row r="73" spans="1:8" ht="285" x14ac:dyDescent="0.2">
      <c r="A73" s="25">
        <v>1</v>
      </c>
      <c r="B73" s="36" t="s">
        <v>71</v>
      </c>
      <c r="C73" s="42" t="s">
        <v>201</v>
      </c>
      <c r="D73" s="47" t="s">
        <v>124</v>
      </c>
      <c r="E73" s="92">
        <f>ROUNDUP($C$13/4,0)+2</f>
        <v>4</v>
      </c>
      <c r="F73" s="85" t="s">
        <v>61</v>
      </c>
      <c r="G73" s="92">
        <f>ROUNDUP($C$13/4,0)+2</f>
        <v>4</v>
      </c>
      <c r="H73" s="25"/>
    </row>
    <row r="74" spans="1:8" x14ac:dyDescent="0.2">
      <c r="A74" s="25">
        <v>2</v>
      </c>
      <c r="B74" s="36" t="s">
        <v>72</v>
      </c>
      <c r="C74" s="42" t="s">
        <v>102</v>
      </c>
      <c r="D74" s="47" t="s">
        <v>124</v>
      </c>
      <c r="E74" s="92">
        <f>(ROUNDUP($C$13/4,0)+2)*2</f>
        <v>8</v>
      </c>
      <c r="F74" s="85" t="s">
        <v>61</v>
      </c>
      <c r="G74" s="92">
        <f>(ROUNDUP($C$13/4,0)+2)*2</f>
        <v>8</v>
      </c>
      <c r="H74" s="25"/>
    </row>
    <row r="75" spans="1:8" ht="30" x14ac:dyDescent="0.2">
      <c r="A75" s="25">
        <v>3</v>
      </c>
      <c r="B75" s="95" t="s">
        <v>188</v>
      </c>
      <c r="C75" s="151" t="s">
        <v>245</v>
      </c>
      <c r="D75" s="47" t="s">
        <v>124</v>
      </c>
      <c r="E75" s="92">
        <f>(ROUNDUP($C$13/4,0)+2)*2+1</f>
        <v>9</v>
      </c>
      <c r="F75" s="85" t="s">
        <v>61</v>
      </c>
      <c r="G75" s="92">
        <f>(ROUNDUP($C$13/4,0)+2)*2+1</f>
        <v>9</v>
      </c>
      <c r="H75" s="25"/>
    </row>
    <row r="76" spans="1:8" ht="30" x14ac:dyDescent="0.2">
      <c r="A76" s="25">
        <v>4</v>
      </c>
      <c r="B76" s="36" t="s">
        <v>74</v>
      </c>
      <c r="C76" s="151" t="s">
        <v>245</v>
      </c>
      <c r="D76" s="47" t="s">
        <v>124</v>
      </c>
      <c r="E76" s="92">
        <f t="shared" ref="E76:G91" si="1">ROUNDUP($C$13/4,0)+2</f>
        <v>4</v>
      </c>
      <c r="F76" s="85" t="s">
        <v>61</v>
      </c>
      <c r="G76" s="92">
        <f t="shared" ref="G76:G79" si="2">ROUNDUP($C$13/4,0)+2</f>
        <v>4</v>
      </c>
      <c r="H76" s="25"/>
    </row>
    <row r="77" spans="1:8" ht="30" x14ac:dyDescent="0.2">
      <c r="A77" s="25">
        <v>5</v>
      </c>
      <c r="B77" s="36" t="s">
        <v>75</v>
      </c>
      <c r="C77" s="151" t="s">
        <v>245</v>
      </c>
      <c r="D77" s="47" t="s">
        <v>124</v>
      </c>
      <c r="E77" s="92">
        <f t="shared" si="1"/>
        <v>4</v>
      </c>
      <c r="F77" s="85" t="s">
        <v>61</v>
      </c>
      <c r="G77" s="92">
        <f t="shared" si="2"/>
        <v>4</v>
      </c>
      <c r="H77" s="25"/>
    </row>
    <row r="78" spans="1:8" ht="120" x14ac:dyDescent="0.2">
      <c r="A78" s="25">
        <v>6</v>
      </c>
      <c r="B78" s="95" t="s">
        <v>132</v>
      </c>
      <c r="C78" s="91" t="s">
        <v>133</v>
      </c>
      <c r="D78" s="92" t="s">
        <v>124</v>
      </c>
      <c r="E78" s="92">
        <f>ROUNDUP($C$13/4,0)+2</f>
        <v>4</v>
      </c>
      <c r="F78" s="85" t="s">
        <v>61</v>
      </c>
      <c r="G78" s="92">
        <f>ROUNDUP($C$13/4,0)+2</f>
        <v>4</v>
      </c>
      <c r="H78" s="86"/>
    </row>
    <row r="79" spans="1:8" ht="30" x14ac:dyDescent="0.2">
      <c r="A79" s="25">
        <v>7</v>
      </c>
      <c r="B79" s="36" t="s">
        <v>76</v>
      </c>
      <c r="C79" s="151" t="s">
        <v>245</v>
      </c>
      <c r="D79" s="47" t="s">
        <v>124</v>
      </c>
      <c r="E79" s="92">
        <f t="shared" si="1"/>
        <v>4</v>
      </c>
      <c r="F79" s="85" t="s">
        <v>61</v>
      </c>
      <c r="G79" s="92">
        <f t="shared" si="2"/>
        <v>4</v>
      </c>
      <c r="H79" s="25"/>
    </row>
    <row r="80" spans="1:8" ht="30" x14ac:dyDescent="0.2">
      <c r="A80" s="25">
        <v>8</v>
      </c>
      <c r="B80" s="37" t="s">
        <v>77</v>
      </c>
      <c r="C80" s="42" t="s">
        <v>103</v>
      </c>
      <c r="D80" s="47" t="s">
        <v>124</v>
      </c>
      <c r="E80" s="48">
        <f>(ROUNDUP($C$13/4,0)+2)*3+2</f>
        <v>14</v>
      </c>
      <c r="F80" s="85" t="s">
        <v>61</v>
      </c>
      <c r="G80" s="48">
        <f>(ROUNDUP($C$13/4,0)+2)*3+2</f>
        <v>14</v>
      </c>
      <c r="H80" s="25"/>
    </row>
    <row r="81" spans="1:8" ht="30" x14ac:dyDescent="0.2">
      <c r="A81" s="25">
        <v>9</v>
      </c>
      <c r="B81" s="36" t="s">
        <v>78</v>
      </c>
      <c r="C81" s="42" t="s">
        <v>104</v>
      </c>
      <c r="D81" s="47" t="s">
        <v>124</v>
      </c>
      <c r="E81" s="92">
        <f t="shared" si="1"/>
        <v>4</v>
      </c>
      <c r="F81" s="85" t="s">
        <v>61</v>
      </c>
      <c r="G81" s="92">
        <f t="shared" si="1"/>
        <v>4</v>
      </c>
      <c r="H81" s="25"/>
    </row>
    <row r="82" spans="1:8" x14ac:dyDescent="0.2">
      <c r="A82" s="25">
        <v>10</v>
      </c>
      <c r="B82" s="36" t="s">
        <v>79</v>
      </c>
      <c r="C82" s="42" t="s">
        <v>105</v>
      </c>
      <c r="D82" s="47" t="s">
        <v>124</v>
      </c>
      <c r="E82" s="92">
        <f t="shared" si="1"/>
        <v>4</v>
      </c>
      <c r="F82" s="85" t="s">
        <v>61</v>
      </c>
      <c r="G82" s="92">
        <f t="shared" si="1"/>
        <v>4</v>
      </c>
      <c r="H82" s="25"/>
    </row>
    <row r="83" spans="1:8" ht="60" x14ac:dyDescent="0.2">
      <c r="A83" s="25">
        <v>12</v>
      </c>
      <c r="B83" s="54" t="s">
        <v>80</v>
      </c>
      <c r="C83" s="150" t="s">
        <v>246</v>
      </c>
      <c r="D83" s="47" t="s">
        <v>125</v>
      </c>
      <c r="E83" s="92">
        <f t="shared" si="1"/>
        <v>4</v>
      </c>
      <c r="F83" s="85" t="s">
        <v>61</v>
      </c>
      <c r="G83" s="92">
        <f t="shared" si="1"/>
        <v>4</v>
      </c>
      <c r="H83" s="25"/>
    </row>
    <row r="84" spans="1:8" ht="60" x14ac:dyDescent="0.2">
      <c r="A84" s="25">
        <v>13</v>
      </c>
      <c r="B84" s="54" t="s">
        <v>81</v>
      </c>
      <c r="C84" s="42" t="s">
        <v>247</v>
      </c>
      <c r="D84" s="47" t="s">
        <v>125</v>
      </c>
      <c r="E84" s="92">
        <f t="shared" si="1"/>
        <v>4</v>
      </c>
      <c r="F84" s="85" t="s">
        <v>61</v>
      </c>
      <c r="G84" s="92">
        <f t="shared" si="1"/>
        <v>4</v>
      </c>
      <c r="H84" s="25"/>
    </row>
    <row r="85" spans="1:8" ht="45" x14ac:dyDescent="0.2">
      <c r="A85" s="25">
        <v>14</v>
      </c>
      <c r="B85" s="54" t="s">
        <v>82</v>
      </c>
      <c r="C85" s="42" t="s">
        <v>251</v>
      </c>
      <c r="D85" s="47" t="s">
        <v>125</v>
      </c>
      <c r="E85" s="92">
        <f t="shared" si="1"/>
        <v>4</v>
      </c>
      <c r="F85" s="85" t="s">
        <v>61</v>
      </c>
      <c r="G85" s="92">
        <f t="shared" si="1"/>
        <v>4</v>
      </c>
      <c r="H85" s="25"/>
    </row>
    <row r="86" spans="1:8" ht="60" x14ac:dyDescent="0.2">
      <c r="A86" s="25">
        <v>15</v>
      </c>
      <c r="B86" s="54" t="s">
        <v>83</v>
      </c>
      <c r="C86" s="42" t="s">
        <v>252</v>
      </c>
      <c r="D86" s="47" t="s">
        <v>125</v>
      </c>
      <c r="E86" s="92">
        <f t="shared" si="1"/>
        <v>4</v>
      </c>
      <c r="F86" s="85" t="s">
        <v>61</v>
      </c>
      <c r="G86" s="92">
        <f t="shared" si="1"/>
        <v>4</v>
      </c>
      <c r="H86" s="25"/>
    </row>
    <row r="87" spans="1:8" ht="45" x14ac:dyDescent="0.2">
      <c r="A87" s="25">
        <v>16</v>
      </c>
      <c r="B87" s="54" t="s">
        <v>84</v>
      </c>
      <c r="C87" s="42" t="s">
        <v>250</v>
      </c>
      <c r="D87" s="47" t="s">
        <v>125</v>
      </c>
      <c r="E87" s="92">
        <f t="shared" si="1"/>
        <v>4</v>
      </c>
      <c r="F87" s="85" t="s">
        <v>61</v>
      </c>
      <c r="G87" s="92">
        <f t="shared" si="1"/>
        <v>4</v>
      </c>
      <c r="H87" s="25"/>
    </row>
    <row r="88" spans="1:8" ht="45" x14ac:dyDescent="0.2">
      <c r="A88" s="25">
        <v>17</v>
      </c>
      <c r="B88" s="54" t="s">
        <v>85</v>
      </c>
      <c r="C88" s="42" t="s">
        <v>253</v>
      </c>
      <c r="D88" s="47" t="s">
        <v>125</v>
      </c>
      <c r="E88" s="92">
        <f t="shared" si="1"/>
        <v>4</v>
      </c>
      <c r="F88" s="85" t="s">
        <v>61</v>
      </c>
      <c r="G88" s="92">
        <f t="shared" si="1"/>
        <v>4</v>
      </c>
      <c r="H88" s="25"/>
    </row>
    <row r="89" spans="1:8" ht="45" x14ac:dyDescent="0.2">
      <c r="A89" s="25">
        <v>18</v>
      </c>
      <c r="B89" s="54" t="s">
        <v>86</v>
      </c>
      <c r="C89" s="42" t="s">
        <v>254</v>
      </c>
      <c r="D89" s="47" t="s">
        <v>125</v>
      </c>
      <c r="E89" s="92">
        <f t="shared" si="1"/>
        <v>4</v>
      </c>
      <c r="F89" s="85" t="s">
        <v>61</v>
      </c>
      <c r="G89" s="92">
        <f t="shared" si="1"/>
        <v>4</v>
      </c>
      <c r="H89" s="25"/>
    </row>
    <row r="90" spans="1:8" ht="90" x14ac:dyDescent="0.2">
      <c r="A90" s="25">
        <v>19</v>
      </c>
      <c r="B90" s="38" t="s">
        <v>87</v>
      </c>
      <c r="C90" s="39" t="s">
        <v>185</v>
      </c>
      <c r="D90" s="47" t="s">
        <v>125</v>
      </c>
      <c r="E90" s="92">
        <f t="shared" si="1"/>
        <v>4</v>
      </c>
      <c r="F90" s="85" t="s">
        <v>61</v>
      </c>
      <c r="G90" s="92">
        <f t="shared" si="1"/>
        <v>4</v>
      </c>
      <c r="H90" s="25"/>
    </row>
    <row r="91" spans="1:8" ht="409.6" x14ac:dyDescent="0.2">
      <c r="A91" s="25">
        <v>20</v>
      </c>
      <c r="B91" s="114" t="s">
        <v>88</v>
      </c>
      <c r="C91" s="112" t="s">
        <v>240</v>
      </c>
      <c r="D91" s="47" t="s">
        <v>125</v>
      </c>
      <c r="E91" s="92">
        <f t="shared" si="1"/>
        <v>4</v>
      </c>
      <c r="F91" s="85" t="s">
        <v>61</v>
      </c>
      <c r="G91" s="92">
        <f t="shared" si="1"/>
        <v>4</v>
      </c>
      <c r="H91" s="25"/>
    </row>
    <row r="92" spans="1:8" ht="120" x14ac:dyDescent="0.2">
      <c r="A92" s="25">
        <v>21</v>
      </c>
      <c r="B92" s="38" t="s">
        <v>88</v>
      </c>
      <c r="C92" s="39" t="s">
        <v>134</v>
      </c>
      <c r="D92" s="47" t="s">
        <v>125</v>
      </c>
      <c r="E92" s="92">
        <f t="shared" ref="E92:E116" si="3">ROUNDUP($C$13/4,0)+2</f>
        <v>4</v>
      </c>
      <c r="F92" s="85" t="s">
        <v>61</v>
      </c>
      <c r="G92" s="92">
        <f t="shared" ref="G92:G116" si="4">ROUNDUP($C$13/4,0)+2</f>
        <v>4</v>
      </c>
      <c r="H92" s="25"/>
    </row>
    <row r="93" spans="1:8" ht="120" x14ac:dyDescent="0.2">
      <c r="A93" s="25">
        <v>22</v>
      </c>
      <c r="B93" s="38" t="s">
        <v>88</v>
      </c>
      <c r="C93" s="44" t="s">
        <v>106</v>
      </c>
      <c r="D93" s="47" t="s">
        <v>125</v>
      </c>
      <c r="E93" s="92">
        <f t="shared" si="3"/>
        <v>4</v>
      </c>
      <c r="F93" s="85" t="s">
        <v>61</v>
      </c>
      <c r="G93" s="92">
        <f t="shared" si="4"/>
        <v>4</v>
      </c>
      <c r="H93" s="25"/>
    </row>
    <row r="94" spans="1:8" ht="16" x14ac:dyDescent="0.2">
      <c r="A94" s="25">
        <v>23</v>
      </c>
      <c r="B94" s="38" t="s">
        <v>89</v>
      </c>
      <c r="C94" s="45" t="s">
        <v>107</v>
      </c>
      <c r="D94" s="47" t="s">
        <v>125</v>
      </c>
      <c r="E94" s="92">
        <f t="shared" si="3"/>
        <v>4</v>
      </c>
      <c r="F94" s="85" t="s">
        <v>61</v>
      </c>
      <c r="G94" s="92">
        <f t="shared" si="4"/>
        <v>4</v>
      </c>
      <c r="H94" s="25"/>
    </row>
    <row r="95" spans="1:8" ht="31" x14ac:dyDescent="0.2">
      <c r="A95" s="25">
        <v>24</v>
      </c>
      <c r="B95" s="38" t="s">
        <v>89</v>
      </c>
      <c r="C95" s="46" t="s">
        <v>108</v>
      </c>
      <c r="D95" s="47" t="s">
        <v>125</v>
      </c>
      <c r="E95" s="92">
        <f t="shared" si="3"/>
        <v>4</v>
      </c>
      <c r="F95" s="85" t="s">
        <v>61</v>
      </c>
      <c r="G95" s="92">
        <f t="shared" si="4"/>
        <v>4</v>
      </c>
      <c r="H95" s="25"/>
    </row>
    <row r="96" spans="1:8" ht="31" x14ac:dyDescent="0.2">
      <c r="A96" s="25">
        <v>25</v>
      </c>
      <c r="B96" s="38" t="s">
        <v>89</v>
      </c>
      <c r="C96" s="46" t="s">
        <v>109</v>
      </c>
      <c r="D96" s="47" t="s">
        <v>125</v>
      </c>
      <c r="E96" s="92">
        <f t="shared" si="3"/>
        <v>4</v>
      </c>
      <c r="F96" s="85" t="s">
        <v>61</v>
      </c>
      <c r="G96" s="92">
        <f t="shared" si="4"/>
        <v>4</v>
      </c>
      <c r="H96" s="25"/>
    </row>
    <row r="97" spans="1:8" ht="31" x14ac:dyDescent="0.2">
      <c r="A97" s="25">
        <v>26</v>
      </c>
      <c r="B97" s="38" t="s">
        <v>89</v>
      </c>
      <c r="C97" s="46" t="s">
        <v>110</v>
      </c>
      <c r="D97" s="47" t="s">
        <v>125</v>
      </c>
      <c r="E97" s="92">
        <f t="shared" si="3"/>
        <v>4</v>
      </c>
      <c r="F97" s="85" t="s">
        <v>61</v>
      </c>
      <c r="G97" s="92">
        <f t="shared" si="4"/>
        <v>4</v>
      </c>
      <c r="H97" s="25"/>
    </row>
    <row r="98" spans="1:8" ht="16" x14ac:dyDescent="0.2">
      <c r="A98" s="25">
        <v>27</v>
      </c>
      <c r="B98" s="38" t="s">
        <v>89</v>
      </c>
      <c r="C98" s="46" t="s">
        <v>111</v>
      </c>
      <c r="D98" s="47" t="s">
        <v>125</v>
      </c>
      <c r="E98" s="92">
        <f t="shared" si="3"/>
        <v>4</v>
      </c>
      <c r="F98" s="85" t="s">
        <v>61</v>
      </c>
      <c r="G98" s="92">
        <f t="shared" si="4"/>
        <v>4</v>
      </c>
      <c r="H98" s="25"/>
    </row>
    <row r="99" spans="1:8" ht="16" x14ac:dyDescent="0.2">
      <c r="A99" s="25">
        <v>28</v>
      </c>
      <c r="B99" s="38" t="s">
        <v>89</v>
      </c>
      <c r="C99" s="46" t="s">
        <v>112</v>
      </c>
      <c r="D99" s="47" t="s">
        <v>125</v>
      </c>
      <c r="E99" s="92">
        <f t="shared" si="3"/>
        <v>4</v>
      </c>
      <c r="F99" s="85" t="s">
        <v>61</v>
      </c>
      <c r="G99" s="92">
        <f t="shared" si="4"/>
        <v>4</v>
      </c>
      <c r="H99" s="25"/>
    </row>
    <row r="100" spans="1:8" ht="16" x14ac:dyDescent="0.2">
      <c r="A100" s="25">
        <v>29</v>
      </c>
      <c r="B100" s="38" t="s">
        <v>89</v>
      </c>
      <c r="C100" s="46" t="s">
        <v>113</v>
      </c>
      <c r="D100" s="47" t="s">
        <v>125</v>
      </c>
      <c r="E100" s="92">
        <f t="shared" si="3"/>
        <v>4</v>
      </c>
      <c r="F100" s="85" t="s">
        <v>61</v>
      </c>
      <c r="G100" s="92">
        <f t="shared" si="4"/>
        <v>4</v>
      </c>
      <c r="H100" s="25"/>
    </row>
    <row r="101" spans="1:8" ht="31" x14ac:dyDescent="0.2">
      <c r="A101" s="25">
        <v>30</v>
      </c>
      <c r="B101" s="38" t="s">
        <v>88</v>
      </c>
      <c r="C101" s="46" t="s">
        <v>114</v>
      </c>
      <c r="D101" s="47" t="s">
        <v>125</v>
      </c>
      <c r="E101" s="92">
        <f t="shared" si="3"/>
        <v>4</v>
      </c>
      <c r="F101" s="85" t="s">
        <v>61</v>
      </c>
      <c r="G101" s="92">
        <f t="shared" si="4"/>
        <v>4</v>
      </c>
      <c r="H101" s="25"/>
    </row>
    <row r="102" spans="1:8" ht="30" x14ac:dyDescent="0.2">
      <c r="A102" s="25">
        <v>31</v>
      </c>
      <c r="B102" s="39" t="s">
        <v>90</v>
      </c>
      <c r="C102" s="39" t="s">
        <v>115</v>
      </c>
      <c r="D102" s="47" t="s">
        <v>125</v>
      </c>
      <c r="E102" s="92">
        <f t="shared" si="3"/>
        <v>4</v>
      </c>
      <c r="F102" s="85" t="s">
        <v>61</v>
      </c>
      <c r="G102" s="92">
        <f t="shared" si="4"/>
        <v>4</v>
      </c>
      <c r="H102" s="25"/>
    </row>
    <row r="103" spans="1:8" ht="30" x14ac:dyDescent="0.2">
      <c r="A103" s="25">
        <v>32</v>
      </c>
      <c r="B103" s="38" t="s">
        <v>89</v>
      </c>
      <c r="C103" s="39" t="s">
        <v>116</v>
      </c>
      <c r="D103" s="47" t="s">
        <v>125</v>
      </c>
      <c r="E103" s="92">
        <f t="shared" si="3"/>
        <v>4</v>
      </c>
      <c r="F103" s="85" t="s">
        <v>61</v>
      </c>
      <c r="G103" s="92">
        <f t="shared" si="4"/>
        <v>4</v>
      </c>
      <c r="H103" s="25"/>
    </row>
    <row r="104" spans="1:8" ht="30" x14ac:dyDescent="0.2">
      <c r="A104" s="25">
        <v>33</v>
      </c>
      <c r="B104" s="38" t="s">
        <v>88</v>
      </c>
      <c r="C104" s="39" t="s">
        <v>207</v>
      </c>
      <c r="D104" s="47" t="s">
        <v>125</v>
      </c>
      <c r="E104" s="92">
        <f t="shared" si="3"/>
        <v>4</v>
      </c>
      <c r="F104" s="85" t="s">
        <v>61</v>
      </c>
      <c r="G104" s="92">
        <f t="shared" si="4"/>
        <v>4</v>
      </c>
      <c r="H104" s="25"/>
    </row>
    <row r="105" spans="1:8" ht="30" x14ac:dyDescent="0.2">
      <c r="A105" s="25">
        <v>34</v>
      </c>
      <c r="B105" s="38" t="s">
        <v>88</v>
      </c>
      <c r="C105" s="39" t="s">
        <v>135</v>
      </c>
      <c r="D105" s="47" t="s">
        <v>125</v>
      </c>
      <c r="E105" s="92">
        <f t="shared" si="3"/>
        <v>4</v>
      </c>
      <c r="F105" s="85" t="s">
        <v>61</v>
      </c>
      <c r="G105" s="92">
        <f t="shared" si="4"/>
        <v>4</v>
      </c>
      <c r="H105" s="25"/>
    </row>
    <row r="106" spans="1:8" ht="70" x14ac:dyDescent="0.2">
      <c r="A106" s="25">
        <v>35</v>
      </c>
      <c r="B106" s="39" t="s">
        <v>90</v>
      </c>
      <c r="C106" s="43" t="s">
        <v>243</v>
      </c>
      <c r="D106" s="47" t="s">
        <v>125</v>
      </c>
      <c r="E106" s="92">
        <f t="shared" si="3"/>
        <v>4</v>
      </c>
      <c r="F106" s="85" t="s">
        <v>61</v>
      </c>
      <c r="G106" s="92">
        <f t="shared" si="4"/>
        <v>4</v>
      </c>
      <c r="H106" s="25"/>
    </row>
    <row r="107" spans="1:8" ht="30" x14ac:dyDescent="0.2">
      <c r="A107" s="25">
        <v>36</v>
      </c>
      <c r="B107" s="38" t="s">
        <v>91</v>
      </c>
      <c r="C107" s="39" t="s">
        <v>225</v>
      </c>
      <c r="D107" s="47" t="s">
        <v>125</v>
      </c>
      <c r="E107" s="92">
        <f t="shared" si="3"/>
        <v>4</v>
      </c>
      <c r="F107" s="85" t="s">
        <v>61</v>
      </c>
      <c r="G107" s="92">
        <f t="shared" si="4"/>
        <v>4</v>
      </c>
      <c r="H107" s="25"/>
    </row>
    <row r="108" spans="1:8" ht="120" x14ac:dyDescent="0.2">
      <c r="A108" s="25">
        <v>37</v>
      </c>
      <c r="B108" s="39" t="s">
        <v>92</v>
      </c>
      <c r="C108" s="39" t="s">
        <v>117</v>
      </c>
      <c r="D108" s="47" t="s">
        <v>125</v>
      </c>
      <c r="E108" s="92">
        <f t="shared" si="3"/>
        <v>4</v>
      </c>
      <c r="F108" s="85" t="s">
        <v>61</v>
      </c>
      <c r="G108" s="92">
        <f t="shared" si="4"/>
        <v>4</v>
      </c>
      <c r="H108" s="25"/>
    </row>
    <row r="109" spans="1:8" ht="30" x14ac:dyDescent="0.2">
      <c r="A109" s="25">
        <v>38</v>
      </c>
      <c r="B109" s="38" t="s">
        <v>88</v>
      </c>
      <c r="C109" s="39" t="s">
        <v>223</v>
      </c>
      <c r="D109" s="47" t="s">
        <v>125</v>
      </c>
      <c r="E109" s="92">
        <f t="shared" si="3"/>
        <v>4</v>
      </c>
      <c r="F109" s="85" t="s">
        <v>61</v>
      </c>
      <c r="G109" s="92">
        <f t="shared" si="4"/>
        <v>4</v>
      </c>
      <c r="H109" s="25"/>
    </row>
    <row r="110" spans="1:8" x14ac:dyDescent="0.2">
      <c r="A110" s="25">
        <v>39</v>
      </c>
      <c r="B110" s="38" t="s">
        <v>93</v>
      </c>
      <c r="C110" s="39" t="s">
        <v>118</v>
      </c>
      <c r="D110" s="47" t="s">
        <v>125</v>
      </c>
      <c r="E110" s="92">
        <f t="shared" si="3"/>
        <v>4</v>
      </c>
      <c r="F110" s="85" t="s">
        <v>61</v>
      </c>
      <c r="G110" s="92">
        <f t="shared" si="4"/>
        <v>4</v>
      </c>
      <c r="H110" s="25"/>
    </row>
    <row r="111" spans="1:8" x14ac:dyDescent="0.2">
      <c r="A111" s="25">
        <v>40</v>
      </c>
      <c r="B111" s="38" t="s">
        <v>93</v>
      </c>
      <c r="C111" s="39" t="s">
        <v>119</v>
      </c>
      <c r="D111" s="47" t="s">
        <v>125</v>
      </c>
      <c r="E111" s="92">
        <f t="shared" si="3"/>
        <v>4</v>
      </c>
      <c r="F111" s="85" t="s">
        <v>61</v>
      </c>
      <c r="G111" s="92">
        <f t="shared" si="4"/>
        <v>4</v>
      </c>
      <c r="H111" s="25"/>
    </row>
    <row r="112" spans="1:8" ht="30" x14ac:dyDescent="0.2">
      <c r="A112" s="25">
        <v>41</v>
      </c>
      <c r="B112" s="39" t="s">
        <v>94</v>
      </c>
      <c r="C112" s="39" t="s">
        <v>120</v>
      </c>
      <c r="D112" s="47" t="s">
        <v>125</v>
      </c>
      <c r="E112" s="92">
        <f t="shared" si="3"/>
        <v>4</v>
      </c>
      <c r="F112" s="85" t="s">
        <v>61</v>
      </c>
      <c r="G112" s="92">
        <f t="shared" si="4"/>
        <v>4</v>
      </c>
      <c r="H112" s="25"/>
    </row>
    <row r="113" spans="1:8" ht="30" x14ac:dyDescent="0.2">
      <c r="A113" s="25">
        <v>42</v>
      </c>
      <c r="B113" s="39" t="s">
        <v>95</v>
      </c>
      <c r="C113" s="39" t="s">
        <v>121</v>
      </c>
      <c r="D113" s="47" t="s">
        <v>125</v>
      </c>
      <c r="E113" s="92">
        <f t="shared" si="3"/>
        <v>4</v>
      </c>
      <c r="F113" s="85" t="s">
        <v>61</v>
      </c>
      <c r="G113" s="92">
        <f t="shared" si="4"/>
        <v>4</v>
      </c>
      <c r="H113" s="25"/>
    </row>
    <row r="114" spans="1:8" x14ac:dyDescent="0.2">
      <c r="A114" s="25">
        <v>43</v>
      </c>
      <c r="B114" s="39" t="s">
        <v>96</v>
      </c>
      <c r="C114" s="39" t="s">
        <v>122</v>
      </c>
      <c r="D114" s="47" t="s">
        <v>125</v>
      </c>
      <c r="E114" s="92">
        <f t="shared" si="3"/>
        <v>4</v>
      </c>
      <c r="F114" s="85" t="s">
        <v>61</v>
      </c>
      <c r="G114" s="92">
        <f t="shared" si="4"/>
        <v>4</v>
      </c>
      <c r="H114" s="25"/>
    </row>
    <row r="115" spans="1:8" x14ac:dyDescent="0.2">
      <c r="A115" s="25">
        <v>44</v>
      </c>
      <c r="B115" s="38" t="s">
        <v>96</v>
      </c>
      <c r="C115" s="43" t="s">
        <v>205</v>
      </c>
      <c r="D115" s="47" t="s">
        <v>125</v>
      </c>
      <c r="E115" s="92">
        <f t="shared" si="3"/>
        <v>4</v>
      </c>
      <c r="F115" s="85" t="s">
        <v>61</v>
      </c>
      <c r="G115" s="92">
        <f t="shared" si="4"/>
        <v>4</v>
      </c>
      <c r="H115" s="25"/>
    </row>
    <row r="116" spans="1:8" x14ac:dyDescent="0.2">
      <c r="A116" s="25">
        <v>45</v>
      </c>
      <c r="B116" s="38" t="s">
        <v>96</v>
      </c>
      <c r="C116" s="55" t="s">
        <v>206</v>
      </c>
      <c r="D116" s="47" t="s">
        <v>125</v>
      </c>
      <c r="E116" s="92">
        <f t="shared" si="3"/>
        <v>4</v>
      </c>
      <c r="F116" s="85" t="s">
        <v>61</v>
      </c>
      <c r="G116" s="92">
        <f t="shared" si="4"/>
        <v>4</v>
      </c>
      <c r="H116" s="25"/>
    </row>
    <row r="117" spans="1:8" ht="61" x14ac:dyDescent="0.2">
      <c r="A117" s="25">
        <v>48</v>
      </c>
      <c r="B117" s="40" t="s">
        <v>97</v>
      </c>
      <c r="C117" s="46" t="s">
        <v>123</v>
      </c>
      <c r="D117" s="47" t="s">
        <v>124</v>
      </c>
      <c r="E117" s="47">
        <v>1</v>
      </c>
      <c r="F117" s="47" t="s">
        <v>61</v>
      </c>
      <c r="G117" s="47">
        <v>1</v>
      </c>
      <c r="H117" s="22"/>
    </row>
    <row r="118" spans="1:8" ht="30" x14ac:dyDescent="0.2">
      <c r="A118" s="25">
        <v>49</v>
      </c>
      <c r="B118" s="40" t="s">
        <v>98</v>
      </c>
      <c r="C118" s="151" t="s">
        <v>245</v>
      </c>
      <c r="D118" s="47" t="s">
        <v>124</v>
      </c>
      <c r="E118" s="47">
        <v>1</v>
      </c>
      <c r="F118" s="47" t="s">
        <v>61</v>
      </c>
      <c r="G118" s="47">
        <v>1</v>
      </c>
      <c r="H118" s="22"/>
    </row>
    <row r="119" spans="1:8" ht="30" x14ac:dyDescent="0.2">
      <c r="A119" s="25">
        <v>50</v>
      </c>
      <c r="B119" s="41" t="s">
        <v>99</v>
      </c>
      <c r="C119" s="151" t="s">
        <v>245</v>
      </c>
      <c r="D119" s="47" t="s">
        <v>68</v>
      </c>
      <c r="E119" s="49">
        <v>6</v>
      </c>
      <c r="F119" s="49" t="s">
        <v>61</v>
      </c>
      <c r="G119" s="49">
        <v>6</v>
      </c>
      <c r="H119" s="22"/>
    </row>
    <row r="120" spans="1:8" ht="30" x14ac:dyDescent="0.2">
      <c r="A120" s="25">
        <v>51</v>
      </c>
      <c r="B120" s="41" t="s">
        <v>64</v>
      </c>
      <c r="C120" s="151" t="s">
        <v>245</v>
      </c>
      <c r="D120" s="47" t="s">
        <v>68</v>
      </c>
      <c r="E120" s="49">
        <v>3</v>
      </c>
      <c r="F120" s="49" t="s">
        <v>61</v>
      </c>
      <c r="G120" s="49">
        <v>3</v>
      </c>
      <c r="H120" s="22"/>
    </row>
    <row r="121" spans="1:8" ht="30" x14ac:dyDescent="0.2">
      <c r="A121" s="25">
        <v>52</v>
      </c>
      <c r="B121" s="41" t="s">
        <v>100</v>
      </c>
      <c r="C121" s="151" t="s">
        <v>245</v>
      </c>
      <c r="D121" s="47" t="s">
        <v>60</v>
      </c>
      <c r="E121" s="49">
        <v>13</v>
      </c>
      <c r="F121" s="49" t="s">
        <v>127</v>
      </c>
      <c r="G121" s="49">
        <v>13</v>
      </c>
      <c r="H121" s="22"/>
    </row>
    <row r="122" spans="1:8" ht="30" x14ac:dyDescent="0.2">
      <c r="A122" s="25">
        <v>53</v>
      </c>
      <c r="B122" s="41" t="s">
        <v>57</v>
      </c>
      <c r="C122" s="151" t="s">
        <v>245</v>
      </c>
      <c r="D122" s="47" t="s">
        <v>60</v>
      </c>
      <c r="E122" s="92">
        <f>C12</f>
        <v>8</v>
      </c>
      <c r="F122" s="49" t="s">
        <v>61</v>
      </c>
      <c r="G122" s="92">
        <f>E12</f>
        <v>0</v>
      </c>
      <c r="H122" s="22"/>
    </row>
    <row r="123" spans="1:8" ht="30" x14ac:dyDescent="0.2">
      <c r="A123" s="25">
        <v>54</v>
      </c>
      <c r="B123" s="41" t="s">
        <v>58</v>
      </c>
      <c r="C123" s="151" t="s">
        <v>245</v>
      </c>
      <c r="D123" s="47" t="s">
        <v>60</v>
      </c>
      <c r="E123" s="105">
        <f>E122*2</f>
        <v>16</v>
      </c>
      <c r="F123" s="49" t="s">
        <v>61</v>
      </c>
      <c r="G123" s="105">
        <f>G122*2</f>
        <v>0</v>
      </c>
      <c r="H123" s="22"/>
    </row>
    <row r="124" spans="1:8" ht="30" x14ac:dyDescent="0.2">
      <c r="A124" s="25">
        <v>55</v>
      </c>
      <c r="B124" s="36" t="s">
        <v>101</v>
      </c>
      <c r="C124" s="151" t="s">
        <v>245</v>
      </c>
      <c r="D124" s="47" t="s">
        <v>68</v>
      </c>
      <c r="E124" s="92">
        <f t="shared" ref="E124:G124" si="5">ROUNDUP($C$13/4,0)+2</f>
        <v>4</v>
      </c>
      <c r="F124" s="48" t="s">
        <v>61</v>
      </c>
      <c r="G124" s="92">
        <f t="shared" si="5"/>
        <v>4</v>
      </c>
      <c r="H124" s="22"/>
    </row>
    <row r="125" spans="1:8" ht="15.75" customHeight="1" x14ac:dyDescent="0.2">
      <c r="A125" s="126" t="s">
        <v>7</v>
      </c>
      <c r="B125" s="127"/>
      <c r="C125" s="127"/>
      <c r="D125" s="127"/>
      <c r="E125" s="127"/>
      <c r="F125" s="128"/>
      <c r="G125" s="128"/>
      <c r="H125" s="127"/>
    </row>
    <row r="126" spans="1:8" ht="60" x14ac:dyDescent="0.2">
      <c r="A126" s="4" t="s">
        <v>6</v>
      </c>
      <c r="B126" s="3" t="s">
        <v>5</v>
      </c>
      <c r="C126" s="3" t="s">
        <v>4</v>
      </c>
      <c r="D126" s="3" t="s">
        <v>3</v>
      </c>
      <c r="E126" s="3" t="s">
        <v>2</v>
      </c>
      <c r="F126" s="3" t="s">
        <v>1</v>
      </c>
      <c r="G126" s="29" t="s">
        <v>0</v>
      </c>
      <c r="H126" s="25" t="s">
        <v>10</v>
      </c>
    </row>
    <row r="127" spans="1:8" ht="30" x14ac:dyDescent="0.2">
      <c r="A127" s="61">
        <v>1</v>
      </c>
      <c r="B127" s="41" t="s">
        <v>128</v>
      </c>
      <c r="C127" s="151" t="s">
        <v>245</v>
      </c>
      <c r="D127" s="47" t="s">
        <v>131</v>
      </c>
      <c r="E127" s="47">
        <v>1</v>
      </c>
      <c r="F127" s="47" t="s">
        <v>61</v>
      </c>
      <c r="G127" s="51">
        <f t="shared" ref="G127" si="6">E127</f>
        <v>1</v>
      </c>
      <c r="H127" s="22"/>
    </row>
    <row r="128" spans="1:8" ht="21" thickBot="1" x14ac:dyDescent="0.25">
      <c r="A128" s="129" t="s">
        <v>41</v>
      </c>
      <c r="B128" s="128"/>
      <c r="C128" s="128"/>
      <c r="D128" s="128"/>
      <c r="E128" s="128"/>
      <c r="F128" s="128"/>
      <c r="G128" s="128"/>
      <c r="H128" s="127"/>
    </row>
    <row r="129" spans="1:8" x14ac:dyDescent="0.2">
      <c r="A129" s="130" t="s">
        <v>9</v>
      </c>
      <c r="B129" s="131"/>
      <c r="C129" s="131"/>
      <c r="D129" s="131"/>
      <c r="E129" s="131"/>
      <c r="F129" s="131"/>
      <c r="G129" s="131"/>
      <c r="H129" s="132"/>
    </row>
    <row r="130" spans="1:8" x14ac:dyDescent="0.2">
      <c r="A130" s="117" t="s">
        <v>202</v>
      </c>
      <c r="B130" s="118"/>
      <c r="C130" s="118"/>
      <c r="D130" s="118"/>
      <c r="E130" s="118"/>
      <c r="F130" s="118"/>
      <c r="G130" s="118"/>
      <c r="H130" s="119"/>
    </row>
    <row r="131" spans="1:8" x14ac:dyDescent="0.2">
      <c r="A131" s="117" t="s">
        <v>192</v>
      </c>
      <c r="B131" s="118"/>
      <c r="C131" s="118"/>
      <c r="D131" s="118"/>
      <c r="E131" s="118"/>
      <c r="F131" s="118"/>
      <c r="G131" s="118"/>
      <c r="H131" s="119"/>
    </row>
    <row r="132" spans="1:8" x14ac:dyDescent="0.2">
      <c r="A132" s="117" t="s">
        <v>193</v>
      </c>
      <c r="B132" s="118"/>
      <c r="C132" s="118"/>
      <c r="D132" s="118"/>
      <c r="E132" s="118"/>
      <c r="F132" s="118"/>
      <c r="G132" s="118"/>
      <c r="H132" s="119"/>
    </row>
    <row r="133" spans="1:8" x14ac:dyDescent="0.2">
      <c r="A133" s="117" t="s">
        <v>194</v>
      </c>
      <c r="B133" s="118"/>
      <c r="C133" s="118"/>
      <c r="D133" s="118"/>
      <c r="E133" s="118"/>
      <c r="F133" s="118"/>
      <c r="G133" s="118"/>
      <c r="H133" s="119"/>
    </row>
    <row r="134" spans="1:8" ht="15" customHeight="1" x14ac:dyDescent="0.2">
      <c r="A134" s="117" t="s">
        <v>40</v>
      </c>
      <c r="B134" s="118"/>
      <c r="C134" s="118"/>
      <c r="D134" s="118"/>
      <c r="E134" s="118"/>
      <c r="F134" s="118"/>
      <c r="G134" s="118"/>
      <c r="H134" s="119"/>
    </row>
    <row r="135" spans="1:8" ht="15" customHeight="1" x14ac:dyDescent="0.2">
      <c r="A135" s="117" t="s">
        <v>54</v>
      </c>
      <c r="B135" s="118"/>
      <c r="C135" s="118"/>
      <c r="D135" s="118"/>
      <c r="E135" s="118"/>
      <c r="F135" s="118"/>
      <c r="G135" s="118"/>
      <c r="H135" s="119"/>
    </row>
    <row r="136" spans="1:8" x14ac:dyDescent="0.2">
      <c r="A136" s="117" t="s">
        <v>55</v>
      </c>
      <c r="B136" s="118"/>
      <c r="C136" s="118"/>
      <c r="D136" s="118"/>
      <c r="E136" s="118"/>
      <c r="F136" s="118"/>
      <c r="G136" s="118"/>
      <c r="H136" s="119"/>
    </row>
    <row r="137" spans="1:8" ht="16" thickBot="1" x14ac:dyDescent="0.25">
      <c r="A137" s="120" t="s">
        <v>56</v>
      </c>
      <c r="B137" s="121"/>
      <c r="C137" s="121"/>
      <c r="D137" s="121"/>
      <c r="E137" s="121"/>
      <c r="F137" s="121"/>
      <c r="G137" s="121"/>
      <c r="H137" s="122"/>
    </row>
    <row r="138" spans="1:8" ht="60" x14ac:dyDescent="0.2">
      <c r="A138" s="6" t="s">
        <v>6</v>
      </c>
      <c r="B138" s="5" t="s">
        <v>5</v>
      </c>
      <c r="C138" s="5" t="s">
        <v>4</v>
      </c>
      <c r="D138" s="6" t="s">
        <v>3</v>
      </c>
      <c r="E138" s="6" t="s">
        <v>2</v>
      </c>
      <c r="F138" s="6" t="s">
        <v>1</v>
      </c>
      <c r="G138" s="6" t="s">
        <v>0</v>
      </c>
      <c r="H138" s="24" t="s">
        <v>10</v>
      </c>
    </row>
    <row r="139" spans="1:8" ht="30" x14ac:dyDescent="0.2">
      <c r="A139" s="2">
        <v>1</v>
      </c>
      <c r="B139" s="90" t="s">
        <v>59</v>
      </c>
      <c r="C139" s="151" t="s">
        <v>245</v>
      </c>
      <c r="D139" s="92" t="s">
        <v>60</v>
      </c>
      <c r="E139" s="84">
        <v>2</v>
      </c>
      <c r="F139" s="84" t="s">
        <v>61</v>
      </c>
      <c r="G139" s="84">
        <v>2</v>
      </c>
      <c r="H139" s="106"/>
    </row>
    <row r="140" spans="1:8" ht="30" x14ac:dyDescent="0.2">
      <c r="A140" s="2">
        <v>2</v>
      </c>
      <c r="B140" s="152" t="s">
        <v>64</v>
      </c>
      <c r="C140" s="151" t="s">
        <v>245</v>
      </c>
      <c r="D140" s="102" t="s">
        <v>68</v>
      </c>
      <c r="E140" s="84">
        <v>1</v>
      </c>
      <c r="F140" s="84" t="s">
        <v>61</v>
      </c>
      <c r="G140" s="84">
        <v>1</v>
      </c>
      <c r="H140" s="106"/>
    </row>
  </sheetData>
  <mergeCells count="69">
    <mergeCell ref="A10:B10"/>
    <mergeCell ref="C10:D10"/>
    <mergeCell ref="E10:F10"/>
    <mergeCell ref="G10:H10"/>
    <mergeCell ref="A7:B7"/>
    <mergeCell ref="C7:H7"/>
    <mergeCell ref="A8:C8"/>
    <mergeCell ref="D8:H8"/>
    <mergeCell ref="A12:B12"/>
    <mergeCell ref="C12:H12"/>
    <mergeCell ref="A11:B11"/>
    <mergeCell ref="C11:D11"/>
    <mergeCell ref="E11:F11"/>
    <mergeCell ref="G11:H11"/>
    <mergeCell ref="A1:H1"/>
    <mergeCell ref="A5:H5"/>
    <mergeCell ref="A6:H6"/>
    <mergeCell ref="A4:H4"/>
    <mergeCell ref="A9:B9"/>
    <mergeCell ref="C9:H9"/>
    <mergeCell ref="A2:H2"/>
    <mergeCell ref="A3:H3"/>
    <mergeCell ref="A16:H16"/>
    <mergeCell ref="A17:H17"/>
    <mergeCell ref="A18:H18"/>
    <mergeCell ref="A19:H19"/>
    <mergeCell ref="A15:B15"/>
    <mergeCell ref="C15:H15"/>
    <mergeCell ref="C13:H13"/>
    <mergeCell ref="A13:B13"/>
    <mergeCell ref="A50:H50"/>
    <mergeCell ref="A21:H21"/>
    <mergeCell ref="A22:H22"/>
    <mergeCell ref="A23:H23"/>
    <mergeCell ref="A24:H24"/>
    <mergeCell ref="A25:H25"/>
    <mergeCell ref="A45:H45"/>
    <mergeCell ref="A46:H46"/>
    <mergeCell ref="A47:H47"/>
    <mergeCell ref="A48:H48"/>
    <mergeCell ref="A49:H49"/>
    <mergeCell ref="A20:H20"/>
    <mergeCell ref="A14:B14"/>
    <mergeCell ref="C14:H14"/>
    <mergeCell ref="A69:H69"/>
    <mergeCell ref="A51:H51"/>
    <mergeCell ref="A52:H52"/>
    <mergeCell ref="A53:H53"/>
    <mergeCell ref="A54:H54"/>
    <mergeCell ref="A62:H62"/>
    <mergeCell ref="A63:H63"/>
    <mergeCell ref="A64:H64"/>
    <mergeCell ref="A65:H65"/>
    <mergeCell ref="A66:H66"/>
    <mergeCell ref="A67:H67"/>
    <mergeCell ref="A68:H68"/>
    <mergeCell ref="A70:H70"/>
    <mergeCell ref="A71:H71"/>
    <mergeCell ref="A125:H125"/>
    <mergeCell ref="A128:H128"/>
    <mergeCell ref="A129:H129"/>
    <mergeCell ref="A136:H136"/>
    <mergeCell ref="A137:H137"/>
    <mergeCell ref="A130:H130"/>
    <mergeCell ref="A131:H131"/>
    <mergeCell ref="A132:H132"/>
    <mergeCell ref="A133:H133"/>
    <mergeCell ref="A134:H134"/>
    <mergeCell ref="A135:H135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topLeftCell="A63" zoomScale="118" zoomScaleNormal="85" workbookViewId="0">
      <selection activeCell="C75" sqref="C75"/>
    </sheetView>
  </sheetViews>
  <sheetFormatPr baseColWidth="10" defaultColWidth="14.5" defaultRowHeight="15" x14ac:dyDescent="0.2"/>
  <cols>
    <col min="1" max="1" width="5.1640625" style="10" customWidth="1"/>
    <col min="2" max="2" width="52" style="10" customWidth="1"/>
    <col min="3" max="3" width="27.5" style="10" customWidth="1"/>
    <col min="4" max="4" width="22" style="10" customWidth="1"/>
    <col min="5" max="5" width="15.5" style="10" customWidth="1"/>
    <col min="6" max="6" width="19.6640625" style="10" bestFit="1" customWidth="1"/>
    <col min="7" max="7" width="14.5" style="10" customWidth="1"/>
    <col min="8" max="8" width="25" style="10" bestFit="1" customWidth="1"/>
    <col min="9" max="9" width="24.1640625" style="1" customWidth="1"/>
    <col min="10" max="11" width="8.6640625" style="1" customWidth="1"/>
    <col min="12" max="16384" width="14.5" style="1"/>
  </cols>
  <sheetData>
    <row r="1" spans="1:9" x14ac:dyDescent="0.2">
      <c r="A1" s="137"/>
      <c r="B1" s="127"/>
      <c r="C1" s="127"/>
      <c r="D1" s="127"/>
      <c r="E1" s="127"/>
      <c r="F1" s="127"/>
      <c r="G1" s="127"/>
      <c r="H1" s="127"/>
    </row>
    <row r="2" spans="1:9" ht="20" x14ac:dyDescent="0.2">
      <c r="A2" s="139" t="s">
        <v>31</v>
      </c>
      <c r="B2" s="139"/>
      <c r="C2" s="139"/>
      <c r="D2" s="139"/>
      <c r="E2" s="139"/>
      <c r="F2" s="139"/>
      <c r="G2" s="139"/>
      <c r="H2" s="139"/>
    </row>
    <row r="3" spans="1:9" ht="20" x14ac:dyDescent="0.2">
      <c r="A3" s="140" t="str">
        <f>'Информация о Чемпионате'!B4</f>
        <v>Региональный этап</v>
      </c>
      <c r="B3" s="140"/>
      <c r="C3" s="140"/>
      <c r="D3" s="140"/>
      <c r="E3" s="140"/>
      <c r="F3" s="140"/>
      <c r="G3" s="140"/>
      <c r="H3" s="140"/>
    </row>
    <row r="4" spans="1:9" ht="20" x14ac:dyDescent="0.2">
      <c r="A4" s="139" t="s">
        <v>32</v>
      </c>
      <c r="B4" s="139"/>
      <c r="C4" s="139"/>
      <c r="D4" s="139"/>
      <c r="E4" s="139"/>
      <c r="F4" s="139"/>
      <c r="G4" s="139"/>
      <c r="H4" s="139"/>
    </row>
    <row r="5" spans="1:9" ht="20" x14ac:dyDescent="0.2">
      <c r="A5" s="138" t="str">
        <f>'Информация о Чемпионате'!B3</f>
        <v>Программные решения для бизнеса</v>
      </c>
      <c r="B5" s="138"/>
      <c r="C5" s="138"/>
      <c r="D5" s="138"/>
      <c r="E5" s="138"/>
      <c r="F5" s="138"/>
      <c r="G5" s="138"/>
      <c r="H5" s="138"/>
    </row>
    <row r="6" spans="1:9" x14ac:dyDescent="0.2">
      <c r="A6" s="133" t="s">
        <v>11</v>
      </c>
      <c r="B6" s="127"/>
      <c r="C6" s="127"/>
      <c r="D6" s="127"/>
      <c r="E6" s="127"/>
      <c r="F6" s="127"/>
      <c r="G6" s="127"/>
      <c r="H6" s="127"/>
    </row>
    <row r="7" spans="1:9" ht="16" x14ac:dyDescent="0.2">
      <c r="A7" s="133" t="s">
        <v>29</v>
      </c>
      <c r="B7" s="133"/>
      <c r="C7" s="141" t="str">
        <f>'Информация о Чемпионате'!B5</f>
        <v>Наименование субъекта РФ</v>
      </c>
      <c r="D7" s="141"/>
      <c r="E7" s="141"/>
      <c r="F7" s="141"/>
      <c r="G7" s="141"/>
      <c r="H7" s="141"/>
    </row>
    <row r="8" spans="1:9" ht="16" x14ac:dyDescent="0.2">
      <c r="A8" s="133" t="s">
        <v>30</v>
      </c>
      <c r="B8" s="133"/>
      <c r="C8" s="133"/>
      <c r="D8" s="141" t="str">
        <f>'Информация о Чемпионате'!B6</f>
        <v>Наименование организации</v>
      </c>
      <c r="E8" s="141"/>
      <c r="F8" s="141"/>
      <c r="G8" s="141"/>
      <c r="H8" s="141"/>
    </row>
    <row r="9" spans="1:9" ht="16" x14ac:dyDescent="0.2">
      <c r="A9" s="133" t="s">
        <v>26</v>
      </c>
      <c r="B9" s="133"/>
      <c r="C9" s="133" t="str">
        <f>'Информация о Чемпионате'!B7</f>
        <v>город, улица, дом.</v>
      </c>
      <c r="D9" s="133"/>
      <c r="E9" s="133"/>
      <c r="F9" s="133"/>
      <c r="G9" s="133"/>
      <c r="H9" s="133"/>
    </row>
    <row r="10" spans="1:9" ht="16" x14ac:dyDescent="0.2">
      <c r="A10" s="133" t="s">
        <v>28</v>
      </c>
      <c r="B10" s="133"/>
      <c r="C10" s="133" t="str">
        <f>'Информация о Чемпионате'!B9</f>
        <v>ФИО ГЭ</v>
      </c>
      <c r="D10" s="133"/>
      <c r="E10" s="133" t="str">
        <f>'Информация о Чемпионате'!B10</f>
        <v>Электронная почта ГЭ</v>
      </c>
      <c r="F10" s="133"/>
      <c r="G10" s="133" t="str">
        <f>'Информация о Чемпионате'!B11</f>
        <v>Мобильный телефон ГЭ</v>
      </c>
      <c r="H10" s="133"/>
    </row>
    <row r="11" spans="1:9" ht="15.75" customHeight="1" x14ac:dyDescent="0.2">
      <c r="A11" s="133" t="s">
        <v>36</v>
      </c>
      <c r="B11" s="133"/>
      <c r="C11" s="133" t="str">
        <f>'Информация о Чемпионате'!B12</f>
        <v>ФИО ТАП</v>
      </c>
      <c r="D11" s="133"/>
      <c r="E11" s="133" t="str">
        <f>'Информация о Чемпионате'!B13</f>
        <v>Электронная почта ТАП</v>
      </c>
      <c r="F11" s="133"/>
      <c r="G11" s="133" t="str">
        <f>'Информация о Чемпионате'!B14</f>
        <v>Мобильный телефон ТАП</v>
      </c>
      <c r="H11" s="133"/>
    </row>
    <row r="12" spans="1:9" ht="15.75" customHeight="1" x14ac:dyDescent="0.2">
      <c r="A12" s="133" t="s">
        <v>43</v>
      </c>
      <c r="B12" s="133"/>
      <c r="C12" s="133">
        <f>'Информация о Чемпионате'!B17</f>
        <v>8</v>
      </c>
      <c r="D12" s="133"/>
      <c r="E12" s="133"/>
      <c r="F12" s="133"/>
      <c r="G12" s="133"/>
      <c r="H12" s="133"/>
    </row>
    <row r="13" spans="1:9" ht="16" x14ac:dyDescent="0.2">
      <c r="A13" s="133" t="s">
        <v>50</v>
      </c>
      <c r="B13" s="133"/>
      <c r="C13" s="133">
        <f>'Информация о Чемпионате'!B15</f>
        <v>5</v>
      </c>
      <c r="D13" s="133"/>
      <c r="E13" s="133"/>
      <c r="F13" s="133"/>
      <c r="G13" s="133"/>
      <c r="H13" s="133"/>
    </row>
    <row r="14" spans="1:9" ht="16" x14ac:dyDescent="0.2">
      <c r="A14" s="133" t="s">
        <v>19</v>
      </c>
      <c r="B14" s="133"/>
      <c r="C14" s="133">
        <f>'Информация о Чемпионате'!B16</f>
        <v>5</v>
      </c>
      <c r="D14" s="133"/>
      <c r="E14" s="133"/>
      <c r="F14" s="133"/>
      <c r="G14" s="133"/>
      <c r="H14" s="133"/>
    </row>
    <row r="15" spans="1:9" ht="16" x14ac:dyDescent="0.2">
      <c r="A15" s="133" t="s">
        <v>27</v>
      </c>
      <c r="B15" s="133"/>
      <c r="C15" s="133" t="str">
        <f>'Информация о Чемпионате'!B8</f>
        <v>Даты проведения</v>
      </c>
      <c r="D15" s="133"/>
      <c r="E15" s="133"/>
      <c r="F15" s="133"/>
      <c r="G15" s="133"/>
      <c r="H15" s="133"/>
    </row>
    <row r="16" spans="1:9" ht="21" thickBot="1" x14ac:dyDescent="0.25">
      <c r="A16" s="129" t="s">
        <v>37</v>
      </c>
      <c r="B16" s="128"/>
      <c r="C16" s="128"/>
      <c r="D16" s="128"/>
      <c r="E16" s="128"/>
      <c r="F16" s="128"/>
      <c r="G16" s="128"/>
      <c r="H16" s="128"/>
      <c r="I16" s="52"/>
    </row>
    <row r="17" spans="1:9" ht="15" customHeight="1" x14ac:dyDescent="0.2">
      <c r="A17" s="130" t="s">
        <v>9</v>
      </c>
      <c r="B17" s="131"/>
      <c r="C17" s="131"/>
      <c r="D17" s="131"/>
      <c r="E17" s="131"/>
      <c r="F17" s="131"/>
      <c r="G17" s="131"/>
      <c r="H17" s="132"/>
    </row>
    <row r="18" spans="1:9" ht="15" customHeight="1" x14ac:dyDescent="0.2">
      <c r="A18" s="117" t="s">
        <v>198</v>
      </c>
      <c r="B18" s="118"/>
      <c r="C18" s="118"/>
      <c r="D18" s="118"/>
      <c r="E18" s="118"/>
      <c r="F18" s="118"/>
      <c r="G18" s="118"/>
      <c r="H18" s="119"/>
    </row>
    <row r="19" spans="1:9" ht="15" customHeight="1" x14ac:dyDescent="0.2">
      <c r="A19" s="117" t="s">
        <v>192</v>
      </c>
      <c r="B19" s="118"/>
      <c r="C19" s="118"/>
      <c r="D19" s="118"/>
      <c r="E19" s="118"/>
      <c r="F19" s="118"/>
      <c r="G19" s="118"/>
      <c r="H19" s="119"/>
    </row>
    <row r="20" spans="1:9" ht="15" customHeight="1" x14ac:dyDescent="0.2">
      <c r="A20" s="117" t="s">
        <v>199</v>
      </c>
      <c r="B20" s="118"/>
      <c r="C20" s="118"/>
      <c r="D20" s="118"/>
      <c r="E20" s="118"/>
      <c r="F20" s="118"/>
      <c r="G20" s="118"/>
      <c r="H20" s="119"/>
    </row>
    <row r="21" spans="1:9" ht="15" customHeight="1" x14ac:dyDescent="0.2">
      <c r="A21" s="117" t="s">
        <v>200</v>
      </c>
      <c r="B21" s="118"/>
      <c r="C21" s="118"/>
      <c r="D21" s="118"/>
      <c r="E21" s="118"/>
      <c r="F21" s="118"/>
      <c r="G21" s="118"/>
      <c r="H21" s="119"/>
    </row>
    <row r="22" spans="1:9" ht="15" customHeight="1" x14ac:dyDescent="0.2">
      <c r="A22" s="117" t="s">
        <v>40</v>
      </c>
      <c r="B22" s="118"/>
      <c r="C22" s="118"/>
      <c r="D22" s="118"/>
      <c r="E22" s="118"/>
      <c r="F22" s="118"/>
      <c r="G22" s="118"/>
      <c r="H22" s="119"/>
    </row>
    <row r="23" spans="1:9" ht="15" customHeight="1" x14ac:dyDescent="0.2">
      <c r="A23" s="117" t="s">
        <v>62</v>
      </c>
      <c r="B23" s="118"/>
      <c r="C23" s="118"/>
      <c r="D23" s="118"/>
      <c r="E23" s="118"/>
      <c r="F23" s="118"/>
      <c r="G23" s="118"/>
      <c r="H23" s="119"/>
    </row>
    <row r="24" spans="1:9" ht="15" customHeight="1" x14ac:dyDescent="0.2">
      <c r="A24" s="117" t="s">
        <v>55</v>
      </c>
      <c r="B24" s="118"/>
      <c r="C24" s="118"/>
      <c r="D24" s="118"/>
      <c r="E24" s="118"/>
      <c r="F24" s="118"/>
      <c r="G24" s="118"/>
      <c r="H24" s="119"/>
    </row>
    <row r="25" spans="1:9" ht="15.75" customHeight="1" thickBot="1" x14ac:dyDescent="0.25">
      <c r="A25" s="120" t="s">
        <v>56</v>
      </c>
      <c r="B25" s="121"/>
      <c r="C25" s="121"/>
      <c r="D25" s="121"/>
      <c r="E25" s="121"/>
      <c r="F25" s="121"/>
      <c r="G25" s="121"/>
      <c r="H25" s="122"/>
    </row>
    <row r="26" spans="1:9" ht="60" x14ac:dyDescent="0.2">
      <c r="A26" s="8" t="s">
        <v>6</v>
      </c>
      <c r="B26" s="8" t="s">
        <v>5</v>
      </c>
      <c r="C26" s="5" t="s">
        <v>4</v>
      </c>
      <c r="D26" s="8" t="s">
        <v>3</v>
      </c>
      <c r="E26" s="8" t="s">
        <v>2</v>
      </c>
      <c r="F26" s="8" t="s">
        <v>1</v>
      </c>
      <c r="G26" s="29" t="s">
        <v>0</v>
      </c>
      <c r="H26" s="25" t="s">
        <v>10</v>
      </c>
      <c r="I26" s="32"/>
    </row>
    <row r="27" spans="1:9" ht="314" x14ac:dyDescent="0.2">
      <c r="A27" s="25">
        <v>1</v>
      </c>
      <c r="B27" s="42" t="s">
        <v>71</v>
      </c>
      <c r="C27" s="42" t="s">
        <v>184</v>
      </c>
      <c r="D27" s="47" t="s">
        <v>124</v>
      </c>
      <c r="E27" s="50">
        <v>1</v>
      </c>
      <c r="F27" s="50" t="s">
        <v>69</v>
      </c>
      <c r="G27" s="56">
        <f>$C$13*E27</f>
        <v>5</v>
      </c>
      <c r="H27" s="25"/>
      <c r="I27" s="32"/>
    </row>
    <row r="28" spans="1:9" ht="30" x14ac:dyDescent="0.2">
      <c r="A28" s="25">
        <v>2</v>
      </c>
      <c r="B28" s="42" t="s">
        <v>72</v>
      </c>
      <c r="C28" s="42" t="s">
        <v>102</v>
      </c>
      <c r="D28" s="47" t="s">
        <v>124</v>
      </c>
      <c r="E28" s="50">
        <v>2</v>
      </c>
      <c r="F28" s="50" t="s">
        <v>69</v>
      </c>
      <c r="G28" s="56">
        <f t="shared" ref="G28:G70" si="0">$C$13*E28</f>
        <v>10</v>
      </c>
      <c r="H28" s="25"/>
      <c r="I28" s="32"/>
    </row>
    <row r="29" spans="1:9" ht="45" x14ac:dyDescent="0.2">
      <c r="A29" s="25">
        <v>3</v>
      </c>
      <c r="B29" s="42" t="s">
        <v>73</v>
      </c>
      <c r="C29" s="151" t="s">
        <v>245</v>
      </c>
      <c r="D29" s="47" t="s">
        <v>124</v>
      </c>
      <c r="E29" s="50">
        <v>2</v>
      </c>
      <c r="F29" s="50" t="s">
        <v>69</v>
      </c>
      <c r="G29" s="56">
        <f t="shared" si="0"/>
        <v>10</v>
      </c>
      <c r="H29" s="25"/>
      <c r="I29" s="32"/>
    </row>
    <row r="30" spans="1:9" ht="45" x14ac:dyDescent="0.2">
      <c r="A30" s="25">
        <v>4</v>
      </c>
      <c r="B30" s="42" t="s">
        <v>74</v>
      </c>
      <c r="C30" s="151" t="s">
        <v>245</v>
      </c>
      <c r="D30" s="47" t="s">
        <v>124</v>
      </c>
      <c r="E30" s="50">
        <v>1</v>
      </c>
      <c r="F30" s="50" t="s">
        <v>69</v>
      </c>
      <c r="G30" s="56">
        <f t="shared" si="0"/>
        <v>5</v>
      </c>
      <c r="H30" s="25"/>
      <c r="I30" s="32"/>
    </row>
    <row r="31" spans="1:9" ht="45" x14ac:dyDescent="0.2">
      <c r="A31" s="25">
        <v>5</v>
      </c>
      <c r="B31" s="42" t="s">
        <v>75</v>
      </c>
      <c r="C31" s="151" t="s">
        <v>245</v>
      </c>
      <c r="D31" s="47" t="s">
        <v>124</v>
      </c>
      <c r="E31" s="50">
        <v>1</v>
      </c>
      <c r="F31" s="50" t="s">
        <v>69</v>
      </c>
      <c r="G31" s="56">
        <f t="shared" si="0"/>
        <v>5</v>
      </c>
      <c r="H31" s="25"/>
      <c r="I31" s="32"/>
    </row>
    <row r="32" spans="1:9" ht="45" x14ac:dyDescent="0.2">
      <c r="A32" s="25">
        <v>6</v>
      </c>
      <c r="B32" s="42" t="s">
        <v>76</v>
      </c>
      <c r="C32" s="151" t="s">
        <v>245</v>
      </c>
      <c r="D32" s="47" t="s">
        <v>124</v>
      </c>
      <c r="E32" s="50">
        <v>1</v>
      </c>
      <c r="F32" s="50" t="s">
        <v>69</v>
      </c>
      <c r="G32" s="56">
        <f t="shared" si="0"/>
        <v>5</v>
      </c>
      <c r="H32" s="25"/>
      <c r="I32" s="32"/>
    </row>
    <row r="33" spans="1:9" ht="150" x14ac:dyDescent="0.2">
      <c r="A33" s="25">
        <v>7</v>
      </c>
      <c r="B33" s="42" t="s">
        <v>132</v>
      </c>
      <c r="C33" s="42" t="s">
        <v>133</v>
      </c>
      <c r="D33" s="47" t="s">
        <v>124</v>
      </c>
      <c r="E33" s="50">
        <v>1</v>
      </c>
      <c r="F33" s="50" t="s">
        <v>69</v>
      </c>
      <c r="G33" s="56">
        <f t="shared" si="0"/>
        <v>5</v>
      </c>
      <c r="H33" s="25"/>
      <c r="I33" s="32"/>
    </row>
    <row r="34" spans="1:9" ht="30" x14ac:dyDescent="0.2">
      <c r="A34" s="25">
        <v>8</v>
      </c>
      <c r="B34" s="42" t="s">
        <v>77</v>
      </c>
      <c r="C34" s="42" t="s">
        <v>103</v>
      </c>
      <c r="D34" s="47" t="s">
        <v>124</v>
      </c>
      <c r="E34" s="50">
        <v>3</v>
      </c>
      <c r="F34" s="50" t="s">
        <v>69</v>
      </c>
      <c r="G34" s="56">
        <f t="shared" si="0"/>
        <v>15</v>
      </c>
      <c r="H34" s="25"/>
      <c r="I34" s="32"/>
    </row>
    <row r="35" spans="1:9" ht="30" x14ac:dyDescent="0.2">
      <c r="A35" s="25">
        <v>9</v>
      </c>
      <c r="B35" s="42" t="s">
        <v>78</v>
      </c>
      <c r="C35" s="42" t="s">
        <v>104</v>
      </c>
      <c r="D35" s="47" t="s">
        <v>124</v>
      </c>
      <c r="E35" s="50">
        <v>1</v>
      </c>
      <c r="F35" s="50" t="s">
        <v>69</v>
      </c>
      <c r="G35" s="56">
        <f t="shared" si="0"/>
        <v>5</v>
      </c>
      <c r="H35" s="25"/>
      <c r="I35" s="32"/>
    </row>
    <row r="36" spans="1:9" x14ac:dyDescent="0.2">
      <c r="A36" s="25">
        <v>10</v>
      </c>
      <c r="B36" s="42" t="s">
        <v>79</v>
      </c>
      <c r="C36" s="42" t="s">
        <v>105</v>
      </c>
      <c r="D36" s="47" t="s">
        <v>124</v>
      </c>
      <c r="E36" s="50">
        <v>1</v>
      </c>
      <c r="F36" s="50" t="s">
        <v>69</v>
      </c>
      <c r="G36" s="56">
        <f t="shared" si="0"/>
        <v>5</v>
      </c>
      <c r="H36" s="25"/>
      <c r="I36" s="32"/>
    </row>
    <row r="37" spans="1:9" ht="60" x14ac:dyDescent="0.2">
      <c r="A37" s="25">
        <v>12</v>
      </c>
      <c r="B37" s="54" t="s">
        <v>80</v>
      </c>
      <c r="C37" s="39" t="s">
        <v>246</v>
      </c>
      <c r="D37" s="47" t="s">
        <v>125</v>
      </c>
      <c r="E37" s="47">
        <v>1</v>
      </c>
      <c r="F37" s="50" t="s">
        <v>69</v>
      </c>
      <c r="G37" s="56">
        <f t="shared" si="0"/>
        <v>5</v>
      </c>
      <c r="H37" s="111" t="s">
        <v>208</v>
      </c>
      <c r="I37" s="32"/>
    </row>
    <row r="38" spans="1:9" ht="75" x14ac:dyDescent="0.2">
      <c r="A38" s="25">
        <v>13</v>
      </c>
      <c r="B38" s="54" t="s">
        <v>81</v>
      </c>
      <c r="C38" s="42" t="s">
        <v>247</v>
      </c>
      <c r="D38" s="47" t="s">
        <v>125</v>
      </c>
      <c r="E38" s="47">
        <v>1</v>
      </c>
      <c r="F38" s="50" t="s">
        <v>69</v>
      </c>
      <c r="G38" s="56">
        <f t="shared" si="0"/>
        <v>5</v>
      </c>
      <c r="H38" s="110" t="s">
        <v>209</v>
      </c>
      <c r="I38" s="32"/>
    </row>
    <row r="39" spans="1:9" ht="60" x14ac:dyDescent="0.2">
      <c r="A39" s="25">
        <v>14</v>
      </c>
      <c r="B39" s="54" t="s">
        <v>82</v>
      </c>
      <c r="C39" s="42" t="s">
        <v>251</v>
      </c>
      <c r="D39" s="47" t="s">
        <v>125</v>
      </c>
      <c r="E39" s="47">
        <v>1</v>
      </c>
      <c r="F39" s="50" t="s">
        <v>69</v>
      </c>
      <c r="G39" s="56">
        <f t="shared" si="0"/>
        <v>5</v>
      </c>
      <c r="H39" s="110" t="s">
        <v>210</v>
      </c>
      <c r="I39" s="32"/>
    </row>
    <row r="40" spans="1:9" ht="60" x14ac:dyDescent="0.2">
      <c r="A40" s="25">
        <v>15</v>
      </c>
      <c r="B40" s="54" t="s">
        <v>83</v>
      </c>
      <c r="C40" s="42" t="s">
        <v>252</v>
      </c>
      <c r="D40" s="47" t="s">
        <v>125</v>
      </c>
      <c r="E40" s="47">
        <v>1</v>
      </c>
      <c r="F40" s="50" t="s">
        <v>69</v>
      </c>
      <c r="G40" s="56">
        <f t="shared" si="0"/>
        <v>5</v>
      </c>
      <c r="H40" s="110" t="s">
        <v>211</v>
      </c>
      <c r="I40" s="32"/>
    </row>
    <row r="41" spans="1:9" ht="60" x14ac:dyDescent="0.2">
      <c r="A41" s="25">
        <v>16</v>
      </c>
      <c r="B41" s="54" t="s">
        <v>84</v>
      </c>
      <c r="C41" s="42" t="s">
        <v>250</v>
      </c>
      <c r="D41" s="47" t="s">
        <v>125</v>
      </c>
      <c r="E41" s="47">
        <v>1</v>
      </c>
      <c r="F41" s="50" t="s">
        <v>69</v>
      </c>
      <c r="G41" s="56">
        <f t="shared" si="0"/>
        <v>5</v>
      </c>
      <c r="H41" s="110" t="s">
        <v>212</v>
      </c>
      <c r="I41" s="32"/>
    </row>
    <row r="42" spans="1:9" ht="60" x14ac:dyDescent="0.2">
      <c r="A42" s="25">
        <v>17</v>
      </c>
      <c r="B42" s="54" t="s">
        <v>85</v>
      </c>
      <c r="C42" s="42" t="s">
        <v>253</v>
      </c>
      <c r="D42" s="47" t="s">
        <v>125</v>
      </c>
      <c r="E42" s="47">
        <v>1</v>
      </c>
      <c r="F42" s="50" t="s">
        <v>69</v>
      </c>
      <c r="G42" s="56">
        <f t="shared" si="0"/>
        <v>5</v>
      </c>
      <c r="H42" s="110" t="s">
        <v>213</v>
      </c>
      <c r="I42" s="32"/>
    </row>
    <row r="43" spans="1:9" ht="60" x14ac:dyDescent="0.2">
      <c r="A43" s="25">
        <v>18</v>
      </c>
      <c r="B43" s="54" t="s">
        <v>86</v>
      </c>
      <c r="C43" s="42" t="s">
        <v>254</v>
      </c>
      <c r="D43" s="47" t="s">
        <v>125</v>
      </c>
      <c r="E43" s="47">
        <v>1</v>
      </c>
      <c r="F43" s="50" t="s">
        <v>69</v>
      </c>
      <c r="G43" s="56">
        <f t="shared" si="0"/>
        <v>5</v>
      </c>
      <c r="H43" s="110" t="s">
        <v>214</v>
      </c>
      <c r="I43" s="32"/>
    </row>
    <row r="44" spans="1:9" ht="105" x14ac:dyDescent="0.2">
      <c r="A44" s="25">
        <v>19</v>
      </c>
      <c r="B44" s="38" t="s">
        <v>87</v>
      </c>
      <c r="C44" s="39" t="s">
        <v>185</v>
      </c>
      <c r="D44" s="47" t="s">
        <v>125</v>
      </c>
      <c r="E44" s="47">
        <v>1</v>
      </c>
      <c r="F44" s="50" t="s">
        <v>69</v>
      </c>
      <c r="G44" s="56">
        <f t="shared" si="0"/>
        <v>5</v>
      </c>
      <c r="H44" s="110" t="s">
        <v>215</v>
      </c>
      <c r="I44" s="32"/>
    </row>
    <row r="45" spans="1:9" ht="409.5" customHeight="1" x14ac:dyDescent="0.2">
      <c r="A45" s="113">
        <v>20</v>
      </c>
      <c r="B45" s="114" t="s">
        <v>88</v>
      </c>
      <c r="C45" s="112" t="s">
        <v>240</v>
      </c>
      <c r="D45" s="108" t="s">
        <v>125</v>
      </c>
      <c r="E45" s="108">
        <v>1</v>
      </c>
      <c r="F45" s="107" t="s">
        <v>69</v>
      </c>
      <c r="G45" s="109">
        <f t="shared" si="0"/>
        <v>5</v>
      </c>
      <c r="H45" s="115" t="s">
        <v>241</v>
      </c>
      <c r="I45" s="32"/>
    </row>
    <row r="46" spans="1:9" ht="150" x14ac:dyDescent="0.2">
      <c r="A46" s="25">
        <v>21</v>
      </c>
      <c r="B46" s="38" t="s">
        <v>88</v>
      </c>
      <c r="C46" s="39" t="s">
        <v>134</v>
      </c>
      <c r="D46" s="47" t="s">
        <v>125</v>
      </c>
      <c r="E46" s="47">
        <v>1</v>
      </c>
      <c r="F46" s="50" t="s">
        <v>69</v>
      </c>
      <c r="G46" s="56">
        <f t="shared" si="0"/>
        <v>5</v>
      </c>
      <c r="H46" s="110" t="s">
        <v>237</v>
      </c>
      <c r="I46" s="32"/>
    </row>
    <row r="47" spans="1:9" ht="120" x14ac:dyDescent="0.2">
      <c r="A47" s="25">
        <v>22</v>
      </c>
      <c r="B47" s="38" t="s">
        <v>88</v>
      </c>
      <c r="C47" s="44" t="s">
        <v>106</v>
      </c>
      <c r="D47" s="47" t="s">
        <v>125</v>
      </c>
      <c r="E47" s="47">
        <v>1</v>
      </c>
      <c r="F47" s="50" t="s">
        <v>69</v>
      </c>
      <c r="G47" s="56">
        <f t="shared" si="0"/>
        <v>5</v>
      </c>
      <c r="H47" s="110" t="s">
        <v>236</v>
      </c>
      <c r="I47" s="32"/>
    </row>
    <row r="48" spans="1:9" ht="16" x14ac:dyDescent="0.2">
      <c r="A48" s="25">
        <v>23</v>
      </c>
      <c r="B48" s="38" t="s">
        <v>89</v>
      </c>
      <c r="C48" s="45" t="s">
        <v>107</v>
      </c>
      <c r="D48" s="47" t="s">
        <v>125</v>
      </c>
      <c r="E48" s="47">
        <v>1</v>
      </c>
      <c r="F48" s="50" t="s">
        <v>69</v>
      </c>
      <c r="G48" s="56">
        <f t="shared" si="0"/>
        <v>5</v>
      </c>
      <c r="H48" s="110" t="s">
        <v>242</v>
      </c>
      <c r="I48" s="32"/>
    </row>
    <row r="49" spans="1:9" ht="31" x14ac:dyDescent="0.2">
      <c r="A49" s="25">
        <v>24</v>
      </c>
      <c r="B49" s="38" t="s">
        <v>89</v>
      </c>
      <c r="C49" s="46" t="s">
        <v>108</v>
      </c>
      <c r="D49" s="47" t="s">
        <v>125</v>
      </c>
      <c r="E49" s="47">
        <v>1</v>
      </c>
      <c r="F49" s="50" t="s">
        <v>69</v>
      </c>
      <c r="G49" s="56">
        <f t="shared" si="0"/>
        <v>5</v>
      </c>
      <c r="H49" s="110" t="s">
        <v>235</v>
      </c>
      <c r="I49" s="32"/>
    </row>
    <row r="50" spans="1:9" ht="31" x14ac:dyDescent="0.2">
      <c r="A50" s="25">
        <v>25</v>
      </c>
      <c r="B50" s="38" t="s">
        <v>89</v>
      </c>
      <c r="C50" s="46" t="s">
        <v>109</v>
      </c>
      <c r="D50" s="47" t="s">
        <v>125</v>
      </c>
      <c r="E50" s="47">
        <v>1</v>
      </c>
      <c r="F50" s="50" t="s">
        <v>69</v>
      </c>
      <c r="G50" s="56">
        <f t="shared" si="0"/>
        <v>5</v>
      </c>
      <c r="H50" s="110" t="s">
        <v>234</v>
      </c>
      <c r="I50" s="32"/>
    </row>
    <row r="51" spans="1:9" ht="31" x14ac:dyDescent="0.2">
      <c r="A51" s="25">
        <v>26</v>
      </c>
      <c r="B51" s="38" t="s">
        <v>89</v>
      </c>
      <c r="C51" s="46" t="s">
        <v>110</v>
      </c>
      <c r="D51" s="47" t="s">
        <v>125</v>
      </c>
      <c r="E51" s="47">
        <v>1</v>
      </c>
      <c r="F51" s="50" t="s">
        <v>69</v>
      </c>
      <c r="G51" s="56">
        <f t="shared" si="0"/>
        <v>5</v>
      </c>
      <c r="H51" s="110" t="s">
        <v>233</v>
      </c>
      <c r="I51" s="32"/>
    </row>
    <row r="52" spans="1:9" ht="31" x14ac:dyDescent="0.2">
      <c r="A52" s="25">
        <v>27</v>
      </c>
      <c r="B52" s="38" t="s">
        <v>89</v>
      </c>
      <c r="C52" s="46" t="s">
        <v>111</v>
      </c>
      <c r="D52" s="47" t="s">
        <v>125</v>
      </c>
      <c r="E52" s="47">
        <v>1</v>
      </c>
      <c r="F52" s="50" t="s">
        <v>69</v>
      </c>
      <c r="G52" s="56">
        <f t="shared" si="0"/>
        <v>5</v>
      </c>
      <c r="H52" s="110" t="s">
        <v>232</v>
      </c>
      <c r="I52" s="32"/>
    </row>
    <row r="53" spans="1:9" ht="31" x14ac:dyDescent="0.2">
      <c r="A53" s="25">
        <v>28</v>
      </c>
      <c r="B53" s="38" t="s">
        <v>89</v>
      </c>
      <c r="C53" s="46" t="s">
        <v>112</v>
      </c>
      <c r="D53" s="47" t="s">
        <v>125</v>
      </c>
      <c r="E53" s="47">
        <v>1</v>
      </c>
      <c r="F53" s="50" t="s">
        <v>69</v>
      </c>
      <c r="G53" s="56">
        <f t="shared" si="0"/>
        <v>5</v>
      </c>
      <c r="H53" s="110" t="s">
        <v>231</v>
      </c>
      <c r="I53" s="26"/>
    </row>
    <row r="54" spans="1:9" ht="31" x14ac:dyDescent="0.2">
      <c r="A54" s="25">
        <v>29</v>
      </c>
      <c r="B54" s="38" t="s">
        <v>89</v>
      </c>
      <c r="C54" s="46" t="s">
        <v>113</v>
      </c>
      <c r="D54" s="47" t="s">
        <v>125</v>
      </c>
      <c r="E54" s="47">
        <v>1</v>
      </c>
      <c r="F54" s="50" t="s">
        <v>69</v>
      </c>
      <c r="G54" s="56">
        <f t="shared" si="0"/>
        <v>5</v>
      </c>
      <c r="H54" s="110" t="s">
        <v>230</v>
      </c>
      <c r="I54" s="26"/>
    </row>
    <row r="55" spans="1:9" ht="31" x14ac:dyDescent="0.2">
      <c r="A55" s="25">
        <v>30</v>
      </c>
      <c r="B55" s="38" t="s">
        <v>88</v>
      </c>
      <c r="C55" s="46" t="s">
        <v>114</v>
      </c>
      <c r="D55" s="47" t="s">
        <v>125</v>
      </c>
      <c r="E55" s="47">
        <v>1</v>
      </c>
      <c r="F55" s="50" t="s">
        <v>69</v>
      </c>
      <c r="G55" s="56">
        <f t="shared" si="0"/>
        <v>5</v>
      </c>
      <c r="H55" s="110" t="s">
        <v>238</v>
      </c>
      <c r="I55" s="26"/>
    </row>
    <row r="56" spans="1:9" ht="30" x14ac:dyDescent="0.2">
      <c r="A56" s="25">
        <v>31</v>
      </c>
      <c r="B56" s="39" t="s">
        <v>90</v>
      </c>
      <c r="C56" s="39" t="s">
        <v>115</v>
      </c>
      <c r="D56" s="47" t="s">
        <v>125</v>
      </c>
      <c r="E56" s="47">
        <v>1</v>
      </c>
      <c r="F56" s="50" t="s">
        <v>69</v>
      </c>
      <c r="G56" s="56">
        <f t="shared" si="0"/>
        <v>5</v>
      </c>
      <c r="H56" s="110" t="s">
        <v>239</v>
      </c>
      <c r="I56" s="26"/>
    </row>
    <row r="57" spans="1:9" ht="30" x14ac:dyDescent="0.2">
      <c r="A57" s="25">
        <v>32</v>
      </c>
      <c r="B57" s="38" t="s">
        <v>89</v>
      </c>
      <c r="C57" s="39" t="s">
        <v>116</v>
      </c>
      <c r="D57" s="47" t="s">
        <v>125</v>
      </c>
      <c r="E57" s="47">
        <v>1</v>
      </c>
      <c r="F57" s="50" t="s">
        <v>69</v>
      </c>
      <c r="G57" s="56">
        <f t="shared" si="0"/>
        <v>5</v>
      </c>
      <c r="H57" s="110" t="s">
        <v>229</v>
      </c>
    </row>
    <row r="58" spans="1:9" ht="45" x14ac:dyDescent="0.2">
      <c r="A58" s="25">
        <v>33</v>
      </c>
      <c r="B58" s="38" t="s">
        <v>88</v>
      </c>
      <c r="C58" s="39" t="s">
        <v>207</v>
      </c>
      <c r="D58" s="47" t="s">
        <v>125</v>
      </c>
      <c r="E58" s="47">
        <v>1</v>
      </c>
      <c r="F58" s="50" t="s">
        <v>69</v>
      </c>
      <c r="G58" s="56">
        <f t="shared" si="0"/>
        <v>5</v>
      </c>
      <c r="H58" s="110" t="s">
        <v>228</v>
      </c>
    </row>
    <row r="59" spans="1:9" ht="30" x14ac:dyDescent="0.2">
      <c r="A59" s="25">
        <v>34</v>
      </c>
      <c r="B59" s="38" t="s">
        <v>88</v>
      </c>
      <c r="C59" s="39" t="s">
        <v>135</v>
      </c>
      <c r="D59" s="47" t="s">
        <v>125</v>
      </c>
      <c r="E59" s="47">
        <v>1</v>
      </c>
      <c r="F59" s="50" t="s">
        <v>69</v>
      </c>
      <c r="G59" s="56">
        <f t="shared" si="0"/>
        <v>5</v>
      </c>
      <c r="H59" s="110" t="s">
        <v>227</v>
      </c>
    </row>
    <row r="60" spans="1:9" ht="84" x14ac:dyDescent="0.2">
      <c r="A60" s="25">
        <v>35</v>
      </c>
      <c r="B60" s="39" t="s">
        <v>90</v>
      </c>
      <c r="C60" s="43" t="s">
        <v>243</v>
      </c>
      <c r="D60" s="47" t="s">
        <v>125</v>
      </c>
      <c r="E60" s="47">
        <v>1</v>
      </c>
      <c r="F60" s="50" t="s">
        <v>69</v>
      </c>
      <c r="G60" s="56">
        <f t="shared" si="0"/>
        <v>5</v>
      </c>
      <c r="H60" s="110"/>
    </row>
    <row r="61" spans="1:9" ht="30" x14ac:dyDescent="0.2">
      <c r="A61" s="25">
        <v>36</v>
      </c>
      <c r="B61" s="38" t="s">
        <v>91</v>
      </c>
      <c r="C61" s="39" t="s">
        <v>225</v>
      </c>
      <c r="D61" s="47" t="s">
        <v>125</v>
      </c>
      <c r="E61" s="47">
        <v>1</v>
      </c>
      <c r="F61" s="50" t="s">
        <v>69</v>
      </c>
      <c r="G61" s="56">
        <f t="shared" si="0"/>
        <v>5</v>
      </c>
      <c r="H61" s="110" t="s">
        <v>226</v>
      </c>
    </row>
    <row r="62" spans="1:9" ht="135" x14ac:dyDescent="0.2">
      <c r="A62" s="25">
        <v>37</v>
      </c>
      <c r="B62" s="39" t="s">
        <v>92</v>
      </c>
      <c r="C62" s="39" t="s">
        <v>117</v>
      </c>
      <c r="D62" s="47" t="s">
        <v>125</v>
      </c>
      <c r="E62" s="47">
        <v>1</v>
      </c>
      <c r="F62" s="50" t="s">
        <v>69</v>
      </c>
      <c r="G62" s="56">
        <f t="shared" si="0"/>
        <v>5</v>
      </c>
      <c r="H62" s="110" t="s">
        <v>224</v>
      </c>
    </row>
    <row r="63" spans="1:9" ht="30" x14ac:dyDescent="0.2">
      <c r="A63" s="6">
        <v>38</v>
      </c>
      <c r="B63" s="38" t="s">
        <v>88</v>
      </c>
      <c r="C63" s="39" t="s">
        <v>223</v>
      </c>
      <c r="D63" s="47" t="s">
        <v>125</v>
      </c>
      <c r="E63" s="47">
        <v>1</v>
      </c>
      <c r="F63" s="50" t="s">
        <v>69</v>
      </c>
      <c r="G63" s="56">
        <f t="shared" si="0"/>
        <v>5</v>
      </c>
      <c r="H63" s="110" t="s">
        <v>222</v>
      </c>
    </row>
    <row r="64" spans="1:9" x14ac:dyDescent="0.2">
      <c r="A64" s="6">
        <v>39</v>
      </c>
      <c r="B64" s="38" t="s">
        <v>93</v>
      </c>
      <c r="C64" s="39" t="s">
        <v>118</v>
      </c>
      <c r="D64" s="47" t="s">
        <v>125</v>
      </c>
      <c r="E64" s="47">
        <v>1</v>
      </c>
      <c r="F64" s="50" t="s">
        <v>69</v>
      </c>
      <c r="G64" s="56">
        <f t="shared" si="0"/>
        <v>5</v>
      </c>
      <c r="H64" s="110" t="s">
        <v>221</v>
      </c>
    </row>
    <row r="65" spans="1:9" x14ac:dyDescent="0.2">
      <c r="A65" s="6">
        <v>40</v>
      </c>
      <c r="B65" s="38" t="s">
        <v>93</v>
      </c>
      <c r="C65" s="39" t="s">
        <v>119</v>
      </c>
      <c r="D65" s="47" t="s">
        <v>125</v>
      </c>
      <c r="E65" s="47">
        <v>1</v>
      </c>
      <c r="F65" s="50" t="s">
        <v>69</v>
      </c>
      <c r="G65" s="56">
        <f t="shared" si="0"/>
        <v>5</v>
      </c>
      <c r="H65" s="110" t="s">
        <v>244</v>
      </c>
    </row>
    <row r="66" spans="1:9" ht="45" x14ac:dyDescent="0.2">
      <c r="A66" s="6">
        <v>41</v>
      </c>
      <c r="B66" s="39" t="s">
        <v>94</v>
      </c>
      <c r="C66" s="39" t="s">
        <v>120</v>
      </c>
      <c r="D66" s="47" t="s">
        <v>125</v>
      </c>
      <c r="E66" s="47">
        <v>1</v>
      </c>
      <c r="F66" s="50" t="s">
        <v>69</v>
      </c>
      <c r="G66" s="56">
        <f t="shared" si="0"/>
        <v>5</v>
      </c>
      <c r="H66" s="110" t="s">
        <v>220</v>
      </c>
    </row>
    <row r="67" spans="1:9" ht="30" x14ac:dyDescent="0.2">
      <c r="A67" s="6">
        <v>42</v>
      </c>
      <c r="B67" s="39" t="s">
        <v>95</v>
      </c>
      <c r="C67" s="39" t="s">
        <v>121</v>
      </c>
      <c r="D67" s="47" t="s">
        <v>125</v>
      </c>
      <c r="E67" s="47">
        <v>1</v>
      </c>
      <c r="F67" s="50" t="s">
        <v>69</v>
      </c>
      <c r="G67" s="56">
        <f t="shared" si="0"/>
        <v>5</v>
      </c>
      <c r="H67" s="110" t="s">
        <v>219</v>
      </c>
    </row>
    <row r="68" spans="1:9" x14ac:dyDescent="0.2">
      <c r="A68" s="6">
        <v>43</v>
      </c>
      <c r="B68" s="39" t="s">
        <v>96</v>
      </c>
      <c r="C68" s="39" t="s">
        <v>122</v>
      </c>
      <c r="D68" s="47" t="s">
        <v>125</v>
      </c>
      <c r="E68" s="47">
        <v>1</v>
      </c>
      <c r="F68" s="50" t="s">
        <v>69</v>
      </c>
      <c r="G68" s="56">
        <f t="shared" si="0"/>
        <v>5</v>
      </c>
      <c r="H68" s="110" t="s">
        <v>218</v>
      </c>
    </row>
    <row r="69" spans="1:9" x14ac:dyDescent="0.2">
      <c r="A69" s="6">
        <v>44</v>
      </c>
      <c r="B69" s="38" t="s">
        <v>96</v>
      </c>
      <c r="C69" s="43" t="s">
        <v>205</v>
      </c>
      <c r="D69" s="47" t="s">
        <v>125</v>
      </c>
      <c r="E69" s="47">
        <v>1</v>
      </c>
      <c r="F69" s="50" t="s">
        <v>69</v>
      </c>
      <c r="G69" s="56">
        <f t="shared" si="0"/>
        <v>5</v>
      </c>
      <c r="H69" s="110" t="s">
        <v>217</v>
      </c>
    </row>
    <row r="70" spans="1:9" ht="15" customHeight="1" x14ac:dyDescent="0.2">
      <c r="A70" s="6">
        <v>45</v>
      </c>
      <c r="B70" s="38" t="s">
        <v>96</v>
      </c>
      <c r="C70" s="55" t="s">
        <v>206</v>
      </c>
      <c r="D70" s="47" t="s">
        <v>125</v>
      </c>
      <c r="E70" s="47">
        <v>1</v>
      </c>
      <c r="F70" s="50" t="s">
        <v>69</v>
      </c>
      <c r="G70" s="56">
        <f t="shared" si="0"/>
        <v>5</v>
      </c>
      <c r="H70" s="110" t="s">
        <v>216</v>
      </c>
    </row>
    <row r="71" spans="1:9" ht="20" x14ac:dyDescent="0.2">
      <c r="A71" s="129" t="s">
        <v>7</v>
      </c>
      <c r="B71" s="128"/>
      <c r="C71" s="128"/>
      <c r="D71" s="128"/>
      <c r="E71" s="127"/>
      <c r="F71" s="127"/>
      <c r="G71" s="128"/>
      <c r="H71" s="127"/>
      <c r="I71" s="52"/>
    </row>
    <row r="72" spans="1:9" ht="60" x14ac:dyDescent="0.2">
      <c r="A72" s="3" t="s">
        <v>6</v>
      </c>
      <c r="B72" s="3" t="s">
        <v>5</v>
      </c>
      <c r="C72" s="3" t="s">
        <v>4</v>
      </c>
      <c r="D72" s="3" t="s">
        <v>3</v>
      </c>
      <c r="E72" s="3" t="s">
        <v>2</v>
      </c>
      <c r="F72" s="3" t="s">
        <v>1</v>
      </c>
      <c r="G72" s="29" t="s">
        <v>0</v>
      </c>
      <c r="H72" s="25" t="s">
        <v>10</v>
      </c>
      <c r="I72" s="32"/>
    </row>
    <row r="73" spans="1:9" ht="16" x14ac:dyDescent="0.2">
      <c r="A73" s="61">
        <v>1</v>
      </c>
      <c r="B73" s="41" t="s">
        <v>128</v>
      </c>
      <c r="C73" s="81" t="s">
        <v>67</v>
      </c>
      <c r="D73" s="47" t="s">
        <v>131</v>
      </c>
      <c r="E73" s="47">
        <v>1</v>
      </c>
      <c r="F73" s="47" t="s">
        <v>61</v>
      </c>
      <c r="G73" s="51">
        <f t="shared" ref="G73:G75" si="1">E73</f>
        <v>1</v>
      </c>
      <c r="H73" s="28"/>
      <c r="I73" s="26"/>
    </row>
    <row r="74" spans="1:9" ht="45" x14ac:dyDescent="0.2">
      <c r="A74" s="2">
        <v>2</v>
      </c>
      <c r="B74" s="41" t="s">
        <v>129</v>
      </c>
      <c r="C74" s="151" t="s">
        <v>245</v>
      </c>
      <c r="D74" s="47" t="s">
        <v>131</v>
      </c>
      <c r="E74" s="47">
        <v>1</v>
      </c>
      <c r="F74" s="47" t="s">
        <v>61</v>
      </c>
      <c r="G74" s="51">
        <f t="shared" si="1"/>
        <v>1</v>
      </c>
      <c r="H74" s="28"/>
      <c r="I74" s="26"/>
    </row>
    <row r="75" spans="1:9" ht="45" x14ac:dyDescent="0.2">
      <c r="A75" s="2">
        <v>3</v>
      </c>
      <c r="B75" s="41" t="s">
        <v>130</v>
      </c>
      <c r="C75" s="151" t="s">
        <v>245</v>
      </c>
      <c r="D75" s="47" t="s">
        <v>131</v>
      </c>
      <c r="E75" s="47">
        <v>1</v>
      </c>
      <c r="F75" s="47" t="s">
        <v>61</v>
      </c>
      <c r="G75" s="51">
        <f t="shared" si="1"/>
        <v>1</v>
      </c>
      <c r="H75" s="28"/>
      <c r="I75" s="26"/>
    </row>
  </sheetData>
  <mergeCells count="39">
    <mergeCell ref="C15:H15"/>
    <mergeCell ref="A11:B11"/>
    <mergeCell ref="C11:D11"/>
    <mergeCell ref="E11:F11"/>
    <mergeCell ref="G11:H11"/>
    <mergeCell ref="A12:B12"/>
    <mergeCell ref="C12:H12"/>
    <mergeCell ref="A14:B14"/>
    <mergeCell ref="C14:H14"/>
    <mergeCell ref="A7:B7"/>
    <mergeCell ref="C7:H7"/>
    <mergeCell ref="A8:C8"/>
    <mergeCell ref="A20:H20"/>
    <mergeCell ref="A21:H21"/>
    <mergeCell ref="A17:H17"/>
    <mergeCell ref="D8:H8"/>
    <mergeCell ref="A9:B9"/>
    <mergeCell ref="C9:H9"/>
    <mergeCell ref="A10:B10"/>
    <mergeCell ref="C10:D10"/>
    <mergeCell ref="E10:F10"/>
    <mergeCell ref="G10:H10"/>
    <mergeCell ref="A13:B13"/>
    <mergeCell ref="C13:H13"/>
    <mergeCell ref="A15:B15"/>
    <mergeCell ref="A1:H1"/>
    <mergeCell ref="A5:H5"/>
    <mergeCell ref="A6:H6"/>
    <mergeCell ref="A2:H2"/>
    <mergeCell ref="A3:H3"/>
    <mergeCell ref="A4:H4"/>
    <mergeCell ref="A71:H71"/>
    <mergeCell ref="A19:H19"/>
    <mergeCell ref="A24:H24"/>
    <mergeCell ref="A25:H25"/>
    <mergeCell ref="A16:H16"/>
    <mergeCell ref="A23:H23"/>
    <mergeCell ref="A18:H18"/>
    <mergeCell ref="A22:H22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9"/>
  <sheetViews>
    <sheetView topLeftCell="A34" zoomScaleNormal="160" workbookViewId="0">
      <selection activeCell="C48" sqref="C48"/>
    </sheetView>
  </sheetViews>
  <sheetFormatPr baseColWidth="10" defaultColWidth="14.5" defaultRowHeight="15" x14ac:dyDescent="0.2"/>
  <cols>
    <col min="1" max="1" width="5.1640625" style="10" customWidth="1"/>
    <col min="2" max="2" width="52" style="10" customWidth="1"/>
    <col min="3" max="3" width="27.5" style="10" customWidth="1"/>
    <col min="4" max="4" width="22" style="10" customWidth="1"/>
    <col min="5" max="5" width="15.5" style="10" customWidth="1"/>
    <col min="6" max="6" width="23.5" style="10" bestFit="1" customWidth="1"/>
    <col min="7" max="7" width="14.5" style="10" customWidth="1"/>
    <col min="8" max="8" width="25" style="10" bestFit="1" customWidth="1"/>
    <col min="9" max="9" width="18.6640625" style="1" customWidth="1"/>
    <col min="10" max="11" width="8.6640625" style="1" customWidth="1"/>
    <col min="12" max="16384" width="14.5" style="1"/>
  </cols>
  <sheetData>
    <row r="1" spans="1:9" x14ac:dyDescent="0.2">
      <c r="A1" s="137"/>
      <c r="B1" s="127"/>
      <c r="C1" s="127"/>
      <c r="D1" s="127"/>
      <c r="E1" s="127"/>
      <c r="F1" s="127"/>
      <c r="G1" s="127"/>
      <c r="H1" s="127"/>
    </row>
    <row r="2" spans="1:9" ht="20" x14ac:dyDescent="0.2">
      <c r="A2" s="139" t="s">
        <v>31</v>
      </c>
      <c r="B2" s="139"/>
      <c r="C2" s="139"/>
      <c r="D2" s="139"/>
      <c r="E2" s="139"/>
      <c r="F2" s="139"/>
      <c r="G2" s="139"/>
      <c r="H2" s="139"/>
    </row>
    <row r="3" spans="1:9" ht="20" x14ac:dyDescent="0.2">
      <c r="A3" s="140" t="str">
        <f>'Информация о Чемпионате'!B4</f>
        <v>Региональный этап</v>
      </c>
      <c r="B3" s="140"/>
      <c r="C3" s="140"/>
      <c r="D3" s="140"/>
      <c r="E3" s="140"/>
      <c r="F3" s="140"/>
      <c r="G3" s="140"/>
      <c r="H3" s="140"/>
    </row>
    <row r="4" spans="1:9" ht="20" x14ac:dyDescent="0.2">
      <c r="A4" s="139" t="s">
        <v>32</v>
      </c>
      <c r="B4" s="139"/>
      <c r="C4" s="139"/>
      <c r="D4" s="139"/>
      <c r="E4" s="139"/>
      <c r="F4" s="139"/>
      <c r="G4" s="139"/>
      <c r="H4" s="139"/>
    </row>
    <row r="5" spans="1:9" ht="20" x14ac:dyDescent="0.2">
      <c r="A5" s="138" t="str">
        <f>'Информация о Чемпионате'!B3</f>
        <v>Программные решения для бизнеса</v>
      </c>
      <c r="B5" s="138"/>
      <c r="C5" s="138"/>
      <c r="D5" s="138"/>
      <c r="E5" s="138"/>
      <c r="F5" s="138"/>
      <c r="G5" s="138"/>
      <c r="H5" s="138"/>
    </row>
    <row r="6" spans="1:9" x14ac:dyDescent="0.2">
      <c r="A6" s="133" t="s">
        <v>11</v>
      </c>
      <c r="B6" s="127"/>
      <c r="C6" s="127"/>
      <c r="D6" s="127"/>
      <c r="E6" s="127"/>
      <c r="F6" s="127"/>
      <c r="G6" s="127"/>
      <c r="H6" s="127"/>
    </row>
    <row r="7" spans="1:9" ht="16" x14ac:dyDescent="0.2">
      <c r="A7" s="133" t="s">
        <v>29</v>
      </c>
      <c r="B7" s="133"/>
      <c r="C7" s="141" t="str">
        <f>'Информация о Чемпионате'!B5</f>
        <v>Наименование субъекта РФ</v>
      </c>
      <c r="D7" s="141"/>
      <c r="E7" s="141"/>
      <c r="F7" s="141"/>
      <c r="G7" s="141"/>
      <c r="H7" s="141"/>
    </row>
    <row r="8" spans="1:9" ht="16" x14ac:dyDescent="0.2">
      <c r="A8" s="133" t="s">
        <v>30</v>
      </c>
      <c r="B8" s="133"/>
      <c r="C8" s="133"/>
      <c r="D8" s="141" t="str">
        <f>'Информация о Чемпионате'!B6</f>
        <v>Наименование организации</v>
      </c>
      <c r="E8" s="141"/>
      <c r="F8" s="141"/>
      <c r="G8" s="141"/>
      <c r="H8" s="141"/>
    </row>
    <row r="9" spans="1:9" ht="16" x14ac:dyDescent="0.2">
      <c r="A9" s="133" t="s">
        <v>26</v>
      </c>
      <c r="B9" s="133"/>
      <c r="C9" s="133" t="str">
        <f>'Информация о Чемпионате'!B7</f>
        <v>город, улица, дом.</v>
      </c>
      <c r="D9" s="133"/>
      <c r="E9" s="133"/>
      <c r="F9" s="133"/>
      <c r="G9" s="133"/>
      <c r="H9" s="133"/>
    </row>
    <row r="10" spans="1:9" ht="16" x14ac:dyDescent="0.2">
      <c r="A10" s="133" t="s">
        <v>28</v>
      </c>
      <c r="B10" s="133"/>
      <c r="C10" s="133" t="str">
        <f>'Информация о Чемпионате'!B9</f>
        <v>ФИО ГЭ</v>
      </c>
      <c r="D10" s="133"/>
      <c r="E10" s="133" t="str">
        <f>'Информация о Чемпионате'!B10</f>
        <v>Электронная почта ГЭ</v>
      </c>
      <c r="F10" s="133"/>
      <c r="G10" s="133" t="str">
        <f>'Информация о Чемпионате'!B11</f>
        <v>Мобильный телефон ГЭ</v>
      </c>
      <c r="H10" s="133"/>
    </row>
    <row r="11" spans="1:9" ht="15.75" customHeight="1" x14ac:dyDescent="0.2">
      <c r="A11" s="133" t="s">
        <v>36</v>
      </c>
      <c r="B11" s="133"/>
      <c r="C11" s="133" t="str">
        <f>'Информация о Чемпионате'!B12</f>
        <v>ФИО ТАП</v>
      </c>
      <c r="D11" s="133"/>
      <c r="E11" s="133" t="str">
        <f>'Информация о Чемпионате'!B13</f>
        <v>Электронная почта ТАП</v>
      </c>
      <c r="F11" s="133"/>
      <c r="G11" s="133" t="str">
        <f>'Информация о Чемпионате'!B14</f>
        <v>Мобильный телефон ТАП</v>
      </c>
      <c r="H11" s="133"/>
    </row>
    <row r="12" spans="1:9" ht="15.75" customHeight="1" x14ac:dyDescent="0.2">
      <c r="A12" s="133" t="s">
        <v>43</v>
      </c>
      <c r="B12" s="133"/>
      <c r="C12" s="133">
        <f>'Информация о Чемпионате'!B17</f>
        <v>8</v>
      </c>
      <c r="D12" s="133"/>
      <c r="E12" s="133"/>
      <c r="F12" s="133"/>
      <c r="G12" s="133"/>
      <c r="H12" s="133"/>
    </row>
    <row r="13" spans="1:9" ht="16" x14ac:dyDescent="0.2">
      <c r="A13" s="133" t="s">
        <v>50</v>
      </c>
      <c r="B13" s="133"/>
      <c r="C13" s="133">
        <f>'Информация о Чемпионате'!B15</f>
        <v>5</v>
      </c>
      <c r="D13" s="133"/>
      <c r="E13" s="133"/>
      <c r="F13" s="133"/>
      <c r="G13" s="133"/>
      <c r="H13" s="133"/>
    </row>
    <row r="14" spans="1:9" ht="16" x14ac:dyDescent="0.2">
      <c r="A14" s="133" t="s">
        <v>19</v>
      </c>
      <c r="B14" s="133"/>
      <c r="C14" s="133">
        <f>'Информация о Чемпионате'!B16</f>
        <v>5</v>
      </c>
      <c r="D14" s="133"/>
      <c r="E14" s="133"/>
      <c r="F14" s="133"/>
      <c r="G14" s="133"/>
      <c r="H14" s="133"/>
    </row>
    <row r="15" spans="1:9" ht="16" x14ac:dyDescent="0.2">
      <c r="A15" s="133" t="s">
        <v>27</v>
      </c>
      <c r="B15" s="133"/>
      <c r="C15" s="133" t="str">
        <f>'Информация о Чемпионате'!B8</f>
        <v>Даты проведения</v>
      </c>
      <c r="D15" s="133"/>
      <c r="E15" s="133"/>
      <c r="F15" s="133"/>
      <c r="G15" s="133"/>
      <c r="H15" s="133"/>
    </row>
    <row r="16" spans="1:9" ht="20" x14ac:dyDescent="0.2">
      <c r="A16" s="129" t="s">
        <v>12</v>
      </c>
      <c r="B16" s="128"/>
      <c r="C16" s="128"/>
      <c r="D16" s="128"/>
      <c r="E16" s="128"/>
      <c r="F16" s="128"/>
      <c r="G16" s="128"/>
      <c r="H16" s="128"/>
      <c r="I16" s="52"/>
    </row>
    <row r="17" spans="1:9" ht="60" x14ac:dyDescent="0.2">
      <c r="A17" s="3" t="s">
        <v>6</v>
      </c>
      <c r="B17" s="3" t="s">
        <v>5</v>
      </c>
      <c r="C17" s="5" t="s">
        <v>4</v>
      </c>
      <c r="D17" s="8" t="s">
        <v>3</v>
      </c>
      <c r="E17" s="8" t="s">
        <v>2</v>
      </c>
      <c r="F17" s="8" t="s">
        <v>1</v>
      </c>
      <c r="G17" s="35" t="s">
        <v>0</v>
      </c>
      <c r="H17" s="25" t="s">
        <v>10</v>
      </c>
      <c r="I17" s="32"/>
    </row>
    <row r="18" spans="1:9" ht="45" x14ac:dyDescent="0.2">
      <c r="A18" s="21">
        <v>1</v>
      </c>
      <c r="B18" s="62" t="s">
        <v>136</v>
      </c>
      <c r="C18" s="151" t="s">
        <v>245</v>
      </c>
      <c r="D18" s="64" t="s">
        <v>126</v>
      </c>
      <c r="E18" s="64">
        <v>1</v>
      </c>
      <c r="F18" s="64" t="s">
        <v>137</v>
      </c>
      <c r="G18" s="64">
        <f>$C$14*E18</f>
        <v>5</v>
      </c>
      <c r="H18" s="65"/>
      <c r="I18" s="66"/>
    </row>
    <row r="19" spans="1:9" ht="45" x14ac:dyDescent="0.2">
      <c r="A19" s="21">
        <v>2</v>
      </c>
      <c r="B19" s="62" t="s">
        <v>138</v>
      </c>
      <c r="C19" s="151" t="s">
        <v>245</v>
      </c>
      <c r="D19" s="64" t="s">
        <v>126</v>
      </c>
      <c r="E19" s="64">
        <v>1</v>
      </c>
      <c r="F19" s="64" t="s">
        <v>137</v>
      </c>
      <c r="G19" s="64">
        <f t="shared" ref="G19:G22" si="0">$C$14*E19</f>
        <v>5</v>
      </c>
      <c r="H19" s="65"/>
      <c r="I19" s="66"/>
    </row>
    <row r="20" spans="1:9" ht="45" x14ac:dyDescent="0.2">
      <c r="A20" s="21">
        <v>3</v>
      </c>
      <c r="B20" s="62" t="s">
        <v>139</v>
      </c>
      <c r="C20" s="151" t="s">
        <v>245</v>
      </c>
      <c r="D20" s="67" t="s">
        <v>126</v>
      </c>
      <c r="E20" s="64">
        <v>1</v>
      </c>
      <c r="F20" s="64" t="s">
        <v>137</v>
      </c>
      <c r="G20" s="64">
        <f t="shared" si="0"/>
        <v>5</v>
      </c>
      <c r="H20" s="65"/>
      <c r="I20" s="66"/>
    </row>
    <row r="21" spans="1:9" ht="45" x14ac:dyDescent="0.2">
      <c r="A21" s="21">
        <v>4</v>
      </c>
      <c r="B21" s="62" t="s">
        <v>140</v>
      </c>
      <c r="C21" s="151" t="s">
        <v>245</v>
      </c>
      <c r="D21" s="67" t="s">
        <v>126</v>
      </c>
      <c r="E21" s="64">
        <v>1</v>
      </c>
      <c r="F21" s="64" t="s">
        <v>137</v>
      </c>
      <c r="G21" s="64">
        <f t="shared" si="0"/>
        <v>5</v>
      </c>
      <c r="H21" s="65"/>
      <c r="I21" s="52"/>
    </row>
    <row r="22" spans="1:9" ht="45" x14ac:dyDescent="0.2">
      <c r="A22" s="21">
        <v>5</v>
      </c>
      <c r="B22" s="62" t="s">
        <v>141</v>
      </c>
      <c r="C22" s="151" t="s">
        <v>245</v>
      </c>
      <c r="D22" s="67" t="s">
        <v>126</v>
      </c>
      <c r="E22" s="64">
        <v>1</v>
      </c>
      <c r="F22" s="64" t="s">
        <v>137</v>
      </c>
      <c r="G22" s="64">
        <f t="shared" si="0"/>
        <v>5</v>
      </c>
      <c r="H22" s="65"/>
      <c r="I22" s="52"/>
    </row>
    <row r="23" spans="1:9" x14ac:dyDescent="0.2">
      <c r="A23" s="21">
        <v>6</v>
      </c>
      <c r="B23" s="68" t="s">
        <v>155</v>
      </c>
      <c r="C23" s="153" t="s">
        <v>156</v>
      </c>
      <c r="D23" s="70" t="s">
        <v>126</v>
      </c>
      <c r="E23" s="69">
        <f>ROUNDUP($C$14/2,0)</f>
        <v>3</v>
      </c>
      <c r="F23" s="69" t="s">
        <v>61</v>
      </c>
      <c r="G23" s="69">
        <f>ROUNDUP($C$14/2,0)</f>
        <v>3</v>
      </c>
      <c r="H23" s="65"/>
      <c r="I23" s="52"/>
    </row>
    <row r="24" spans="1:9" ht="20" x14ac:dyDescent="0.2">
      <c r="A24" s="142" t="s">
        <v>13</v>
      </c>
      <c r="B24" s="143"/>
      <c r="C24" s="143"/>
      <c r="D24" s="143"/>
      <c r="E24" s="143"/>
      <c r="F24" s="143"/>
      <c r="G24" s="143"/>
      <c r="H24" s="144"/>
      <c r="I24" s="52"/>
    </row>
    <row r="25" spans="1:9" ht="60" x14ac:dyDescent="0.2">
      <c r="A25" s="2" t="s">
        <v>6</v>
      </c>
      <c r="B25" s="2" t="s">
        <v>5</v>
      </c>
      <c r="C25" s="3" t="s">
        <v>4</v>
      </c>
      <c r="D25" s="2" t="s">
        <v>3</v>
      </c>
      <c r="E25" s="2" t="s">
        <v>2</v>
      </c>
      <c r="F25" s="2" t="s">
        <v>1</v>
      </c>
      <c r="G25" s="29" t="s">
        <v>0</v>
      </c>
      <c r="H25" s="25" t="s">
        <v>10</v>
      </c>
      <c r="I25" s="32"/>
    </row>
    <row r="26" spans="1:9" s="9" customFormat="1" ht="45" x14ac:dyDescent="0.2">
      <c r="A26" s="19">
        <v>1</v>
      </c>
      <c r="B26" s="62" t="s">
        <v>157</v>
      </c>
      <c r="C26" s="151" t="s">
        <v>245</v>
      </c>
      <c r="D26" s="71" t="s">
        <v>126</v>
      </c>
      <c r="E26" s="72">
        <f>ROUNDUP(($E$23+$E$27)/4,0)</f>
        <v>2</v>
      </c>
      <c r="F26" s="72" t="s">
        <v>61</v>
      </c>
      <c r="G26" s="72">
        <f>ROUNDUP(($E$23+$E$27)/4,0)</f>
        <v>2</v>
      </c>
      <c r="H26" s="65"/>
      <c r="I26" s="26"/>
    </row>
    <row r="27" spans="1:9" s="9" customFormat="1" x14ac:dyDescent="0.2">
      <c r="A27" s="19">
        <v>2</v>
      </c>
      <c r="B27" s="73" t="s">
        <v>155</v>
      </c>
      <c r="C27" s="74" t="s">
        <v>156</v>
      </c>
      <c r="D27" s="71" t="s">
        <v>126</v>
      </c>
      <c r="E27" s="72">
        <f>$C$14</f>
        <v>5</v>
      </c>
      <c r="F27" s="72" t="s">
        <v>61</v>
      </c>
      <c r="G27" s="72">
        <f>$C$14</f>
        <v>5</v>
      </c>
      <c r="H27" s="65"/>
      <c r="I27" s="26"/>
    </row>
    <row r="28" spans="1:9" s="9" customFormat="1" ht="45" x14ac:dyDescent="0.2">
      <c r="A28" s="19">
        <v>3</v>
      </c>
      <c r="B28" s="62" t="s">
        <v>158</v>
      </c>
      <c r="C28" s="151" t="s">
        <v>245</v>
      </c>
      <c r="D28" s="71" t="s">
        <v>126</v>
      </c>
      <c r="E28" s="72">
        <f>$C$14*2</f>
        <v>10</v>
      </c>
      <c r="F28" s="72" t="s">
        <v>61</v>
      </c>
      <c r="G28" s="72">
        <f>$C$14*2</f>
        <v>10</v>
      </c>
      <c r="H28" s="65"/>
      <c r="I28" s="26"/>
    </row>
    <row r="29" spans="1:9" s="9" customFormat="1" ht="45" x14ac:dyDescent="0.2">
      <c r="A29" s="19">
        <v>4</v>
      </c>
      <c r="B29" s="62" t="s">
        <v>159</v>
      </c>
      <c r="C29" s="151" t="s">
        <v>245</v>
      </c>
      <c r="D29" s="71" t="s">
        <v>126</v>
      </c>
      <c r="E29" s="72">
        <f>$C$14*2</f>
        <v>10</v>
      </c>
      <c r="F29" s="72" t="s">
        <v>61</v>
      </c>
      <c r="G29" s="72">
        <f>$C$14*2</f>
        <v>10</v>
      </c>
      <c r="H29" s="65"/>
    </row>
    <row r="30" spans="1:9" s="9" customFormat="1" x14ac:dyDescent="0.2">
      <c r="A30" s="19">
        <v>5</v>
      </c>
      <c r="B30" s="73" t="s">
        <v>160</v>
      </c>
      <c r="C30" s="75" t="s">
        <v>161</v>
      </c>
      <c r="D30" s="71" t="s">
        <v>126</v>
      </c>
      <c r="E30" s="72">
        <v>1</v>
      </c>
      <c r="F30" s="72" t="s">
        <v>162</v>
      </c>
      <c r="G30" s="72">
        <v>1</v>
      </c>
      <c r="H30" s="65"/>
    </row>
    <row r="31" spans="1:9" s="9" customFormat="1" ht="45" x14ac:dyDescent="0.2">
      <c r="A31" s="19">
        <v>6</v>
      </c>
      <c r="B31" s="75" t="s">
        <v>163</v>
      </c>
      <c r="C31" s="151" t="s">
        <v>245</v>
      </c>
      <c r="D31" s="71" t="s">
        <v>126</v>
      </c>
      <c r="E31" s="72">
        <f>ROUNDUP(($E$23+$E$27)/4,0)</f>
        <v>2</v>
      </c>
      <c r="F31" s="76" t="s">
        <v>61</v>
      </c>
      <c r="G31" s="72">
        <f>ROUNDUP(($E$23+$E$27)/4,0)</f>
        <v>2</v>
      </c>
      <c r="H31" s="65"/>
    </row>
    <row r="32" spans="1:9" s="9" customFormat="1" ht="45" x14ac:dyDescent="0.2">
      <c r="A32" s="19">
        <v>7</v>
      </c>
      <c r="B32" s="75" t="s">
        <v>142</v>
      </c>
      <c r="C32" s="151" t="s">
        <v>245</v>
      </c>
      <c r="D32" s="71" t="s">
        <v>126</v>
      </c>
      <c r="E32" s="72">
        <f>$C$14*3</f>
        <v>15</v>
      </c>
      <c r="F32" s="76" t="s">
        <v>61</v>
      </c>
      <c r="G32" s="72">
        <f>$C$14*3</f>
        <v>15</v>
      </c>
      <c r="H32" s="65"/>
    </row>
    <row r="33" spans="1:9" s="9" customFormat="1" ht="45" x14ac:dyDescent="0.2">
      <c r="A33" s="19">
        <v>8</v>
      </c>
      <c r="B33" s="75" t="s">
        <v>164</v>
      </c>
      <c r="C33" s="151" t="s">
        <v>245</v>
      </c>
      <c r="D33" s="71" t="s">
        <v>126</v>
      </c>
      <c r="E33" s="72">
        <v>1</v>
      </c>
      <c r="F33" s="76" t="s">
        <v>61</v>
      </c>
      <c r="G33" s="76">
        <v>1</v>
      </c>
      <c r="H33" s="65"/>
    </row>
    <row r="34" spans="1:9" s="9" customFormat="1" x14ac:dyDescent="0.2">
      <c r="A34" s="19">
        <v>9</v>
      </c>
      <c r="B34" s="75" t="s">
        <v>165</v>
      </c>
      <c r="C34" s="75" t="s">
        <v>166</v>
      </c>
      <c r="D34" s="71" t="s">
        <v>126</v>
      </c>
      <c r="E34" s="72">
        <v>1</v>
      </c>
      <c r="F34" s="76" t="s">
        <v>61</v>
      </c>
      <c r="G34" s="76">
        <v>1</v>
      </c>
      <c r="H34" s="65"/>
    </row>
    <row r="35" spans="1:9" s="9" customFormat="1" ht="45" x14ac:dyDescent="0.2">
      <c r="A35" s="19">
        <v>10</v>
      </c>
      <c r="B35" s="75" t="s">
        <v>143</v>
      </c>
      <c r="C35" s="151" t="s">
        <v>245</v>
      </c>
      <c r="D35" s="71" t="s">
        <v>126</v>
      </c>
      <c r="E35" s="77">
        <v>1</v>
      </c>
      <c r="F35" s="76" t="s">
        <v>167</v>
      </c>
      <c r="G35" s="76">
        <v>1</v>
      </c>
      <c r="H35" s="65"/>
    </row>
    <row r="36" spans="1:9" s="9" customFormat="1" x14ac:dyDescent="0.2">
      <c r="A36" s="19">
        <v>11</v>
      </c>
      <c r="B36" s="75" t="s">
        <v>168</v>
      </c>
      <c r="C36" s="74" t="s">
        <v>169</v>
      </c>
      <c r="D36" s="71" t="s">
        <v>126</v>
      </c>
      <c r="E36" s="72">
        <v>1</v>
      </c>
      <c r="F36" s="76" t="s">
        <v>61</v>
      </c>
      <c r="G36" s="76">
        <v>1</v>
      </c>
      <c r="H36" s="65"/>
    </row>
    <row r="37" spans="1:9" s="9" customFormat="1" ht="30" x14ac:dyDescent="0.2">
      <c r="A37" s="19">
        <v>12</v>
      </c>
      <c r="B37" s="75" t="s">
        <v>170</v>
      </c>
      <c r="C37" s="75" t="s">
        <v>171</v>
      </c>
      <c r="D37" s="71" t="s">
        <v>126</v>
      </c>
      <c r="E37" s="77">
        <v>1</v>
      </c>
      <c r="F37" s="76" t="s">
        <v>172</v>
      </c>
      <c r="G37" s="76">
        <v>1</v>
      </c>
      <c r="H37" s="65"/>
    </row>
    <row r="38" spans="1:9" s="9" customFormat="1" ht="45" x14ac:dyDescent="0.2">
      <c r="A38" s="19">
        <v>13</v>
      </c>
      <c r="B38" s="75" t="s">
        <v>173</v>
      </c>
      <c r="C38" s="151" t="s">
        <v>245</v>
      </c>
      <c r="D38" s="71" t="s">
        <v>126</v>
      </c>
      <c r="E38" s="72">
        <v>1</v>
      </c>
      <c r="F38" s="76" t="s">
        <v>61</v>
      </c>
      <c r="G38" s="76">
        <v>1</v>
      </c>
      <c r="H38" s="65"/>
    </row>
    <row r="39" spans="1:9" s="9" customFormat="1" x14ac:dyDescent="0.2">
      <c r="A39" s="19">
        <v>14</v>
      </c>
      <c r="B39" s="75" t="s">
        <v>174</v>
      </c>
      <c r="C39" s="75" t="s">
        <v>175</v>
      </c>
      <c r="D39" s="71" t="s">
        <v>126</v>
      </c>
      <c r="E39" s="72">
        <v>1</v>
      </c>
      <c r="F39" s="76" t="s">
        <v>176</v>
      </c>
      <c r="G39" s="76">
        <v>1</v>
      </c>
      <c r="H39" s="65"/>
    </row>
    <row r="40" spans="1:9" s="9" customFormat="1" x14ac:dyDescent="0.2">
      <c r="A40" s="19">
        <v>15</v>
      </c>
      <c r="B40" s="75" t="s">
        <v>177</v>
      </c>
      <c r="C40" s="75" t="s">
        <v>178</v>
      </c>
      <c r="D40" s="71" t="s">
        <v>126</v>
      </c>
      <c r="E40" s="72">
        <f>ROUNDUP($C$13*20/100,0)</f>
        <v>1</v>
      </c>
      <c r="F40" s="76" t="s">
        <v>172</v>
      </c>
      <c r="G40" s="72">
        <f>ROUNDUP($C$13*20/100,0)</f>
        <v>1</v>
      </c>
      <c r="H40" s="65"/>
    </row>
    <row r="41" spans="1:9" s="9" customFormat="1" x14ac:dyDescent="0.2">
      <c r="A41" s="19">
        <v>16</v>
      </c>
      <c r="B41" s="75" t="s">
        <v>179</v>
      </c>
      <c r="C41" s="75" t="s">
        <v>180</v>
      </c>
      <c r="D41" s="71" t="s">
        <v>126</v>
      </c>
      <c r="E41" s="72">
        <f>ROUNDUP($C$13*20/50,0)</f>
        <v>2</v>
      </c>
      <c r="F41" s="76" t="s">
        <v>172</v>
      </c>
      <c r="G41" s="72">
        <f>ROUNDUP($C$13*20/50,0)</f>
        <v>2</v>
      </c>
      <c r="H41" s="65"/>
    </row>
    <row r="42" spans="1:9" s="9" customFormat="1" x14ac:dyDescent="0.2">
      <c r="A42" s="19">
        <v>17</v>
      </c>
      <c r="B42" s="75" t="s">
        <v>181</v>
      </c>
      <c r="C42" s="75" t="s">
        <v>182</v>
      </c>
      <c r="D42" s="71" t="s">
        <v>126</v>
      </c>
      <c r="E42" s="77">
        <v>1</v>
      </c>
      <c r="F42" s="76" t="s">
        <v>61</v>
      </c>
      <c r="G42" s="76">
        <v>1</v>
      </c>
      <c r="H42" s="65"/>
    </row>
    <row r="43" spans="1:9" s="9" customFormat="1" ht="45" x14ac:dyDescent="0.2">
      <c r="A43" s="19">
        <v>18</v>
      </c>
      <c r="B43" s="75" t="s">
        <v>183</v>
      </c>
      <c r="C43" s="151" t="s">
        <v>245</v>
      </c>
      <c r="D43" s="71" t="s">
        <v>126</v>
      </c>
      <c r="E43" s="72">
        <f>ROUNDUP($C$13*2/5,0)</f>
        <v>2</v>
      </c>
      <c r="F43" s="76" t="s">
        <v>61</v>
      </c>
      <c r="G43" s="72">
        <f>ROUNDUP($C$13*2/5,0)</f>
        <v>2</v>
      </c>
      <c r="H43" s="65"/>
    </row>
    <row r="44" spans="1:9" s="9" customFormat="1" ht="31" x14ac:dyDescent="0.2">
      <c r="A44" s="19">
        <v>19</v>
      </c>
      <c r="B44" s="30" t="s">
        <v>144</v>
      </c>
      <c r="C44" s="30" t="s">
        <v>145</v>
      </c>
      <c r="D44" s="71" t="s">
        <v>126</v>
      </c>
      <c r="E44" s="72">
        <f>ROUNDUP($C$13*2/5,0)</f>
        <v>2</v>
      </c>
      <c r="F44" s="76" t="s">
        <v>61</v>
      </c>
      <c r="G44" s="72">
        <f>ROUNDUP($C$13*2/5,0)</f>
        <v>2</v>
      </c>
      <c r="H44" s="65"/>
    </row>
    <row r="45" spans="1:9" ht="20" x14ac:dyDescent="0.2">
      <c r="A45" s="129" t="s">
        <v>7</v>
      </c>
      <c r="B45" s="128"/>
      <c r="C45" s="128"/>
      <c r="D45" s="127"/>
      <c r="E45" s="127"/>
      <c r="F45" s="127"/>
      <c r="G45" s="127"/>
      <c r="H45" s="127"/>
      <c r="I45" s="52"/>
    </row>
    <row r="46" spans="1:9" ht="60" x14ac:dyDescent="0.2">
      <c r="A46" s="25" t="s">
        <v>6</v>
      </c>
      <c r="B46" s="25" t="s">
        <v>5</v>
      </c>
      <c r="C46" s="25" t="s">
        <v>4</v>
      </c>
      <c r="D46" s="25" t="s">
        <v>3</v>
      </c>
      <c r="E46" s="25" t="s">
        <v>2</v>
      </c>
      <c r="F46" s="25" t="s">
        <v>1</v>
      </c>
      <c r="G46" s="25" t="s">
        <v>0</v>
      </c>
      <c r="H46" s="25" t="s">
        <v>10</v>
      </c>
      <c r="I46" s="32"/>
    </row>
    <row r="47" spans="1:9" ht="16" x14ac:dyDescent="0.2">
      <c r="A47" s="27">
        <v>1</v>
      </c>
      <c r="B47" s="62" t="s">
        <v>128</v>
      </c>
      <c r="C47" s="63" t="s">
        <v>67</v>
      </c>
      <c r="D47" s="78" t="s">
        <v>131</v>
      </c>
      <c r="E47" s="67">
        <v>1</v>
      </c>
      <c r="F47" s="64" t="s">
        <v>61</v>
      </c>
      <c r="G47" s="67">
        <v>1</v>
      </c>
      <c r="H47" s="79"/>
      <c r="I47" s="66"/>
    </row>
    <row r="48" spans="1:9" ht="45" x14ac:dyDescent="0.2">
      <c r="A48" s="27">
        <v>2</v>
      </c>
      <c r="B48" s="62" t="s">
        <v>66</v>
      </c>
      <c r="C48" s="151" t="s">
        <v>245</v>
      </c>
      <c r="D48" s="78" t="s">
        <v>131</v>
      </c>
      <c r="E48" s="67">
        <v>1</v>
      </c>
      <c r="F48" s="64" t="s">
        <v>61</v>
      </c>
      <c r="G48" s="64">
        <v>1</v>
      </c>
      <c r="H48" s="79"/>
      <c r="I48" s="66"/>
    </row>
    <row r="49" spans="9:9" x14ac:dyDescent="0.2">
      <c r="I49" s="26"/>
    </row>
  </sheetData>
  <mergeCells count="31">
    <mergeCell ref="A13:B13"/>
    <mergeCell ref="C13:H13"/>
    <mergeCell ref="A15:B15"/>
    <mergeCell ref="C15:H15"/>
    <mergeCell ref="A11:B11"/>
    <mergeCell ref="C11:D11"/>
    <mergeCell ref="E11:F11"/>
    <mergeCell ref="G11:H11"/>
    <mergeCell ref="A12:B12"/>
    <mergeCell ref="C12:H12"/>
    <mergeCell ref="C9:H9"/>
    <mergeCell ref="A10:B10"/>
    <mergeCell ref="C10:D10"/>
    <mergeCell ref="E10:F10"/>
    <mergeCell ref="G10:H10"/>
    <mergeCell ref="A45:H45"/>
    <mergeCell ref="A24:H24"/>
    <mergeCell ref="A1:H1"/>
    <mergeCell ref="A5:H5"/>
    <mergeCell ref="A6:H6"/>
    <mergeCell ref="A16:H16"/>
    <mergeCell ref="A14:B14"/>
    <mergeCell ref="C14:H14"/>
    <mergeCell ref="A2:H2"/>
    <mergeCell ref="A3:H3"/>
    <mergeCell ref="A4:H4"/>
    <mergeCell ref="A7:B7"/>
    <mergeCell ref="C7:H7"/>
    <mergeCell ref="A8:C8"/>
    <mergeCell ref="D8:H8"/>
    <mergeCell ref="A9:B9"/>
  </mergeCells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tabSelected="1" zoomScale="87" zoomScaleNormal="87" workbookViewId="0">
      <selection activeCell="C16" sqref="C16"/>
    </sheetView>
  </sheetViews>
  <sheetFormatPr baseColWidth="10" defaultColWidth="14.5" defaultRowHeight="15" x14ac:dyDescent="0.2"/>
  <cols>
    <col min="1" max="1" width="5.1640625" style="1" customWidth="1"/>
    <col min="2" max="2" width="52" style="1" customWidth="1"/>
    <col min="3" max="3" width="27.5" style="1" customWidth="1"/>
    <col min="4" max="4" width="22" style="1" customWidth="1"/>
    <col min="5" max="5" width="15.5" style="1" customWidth="1"/>
    <col min="6" max="6" width="19.6640625" style="1" bestFit="1" customWidth="1"/>
    <col min="7" max="7" width="14.5" style="1" customWidth="1"/>
    <col min="8" max="9" width="8.6640625" style="1" customWidth="1"/>
    <col min="10" max="16384" width="14.5" style="1"/>
  </cols>
  <sheetData>
    <row r="1" spans="1:8" x14ac:dyDescent="0.2">
      <c r="A1" s="146"/>
      <c r="B1" s="147"/>
      <c r="C1" s="147"/>
      <c r="D1" s="147"/>
      <c r="E1" s="147"/>
      <c r="F1" s="147"/>
      <c r="G1" s="147"/>
    </row>
    <row r="2" spans="1:8" ht="20" x14ac:dyDescent="0.2">
      <c r="A2" s="139" t="s">
        <v>31</v>
      </c>
      <c r="B2" s="139"/>
      <c r="C2" s="139"/>
      <c r="D2" s="139"/>
      <c r="E2" s="139"/>
      <c r="F2" s="139"/>
      <c r="G2" s="139"/>
      <c r="H2" s="16"/>
    </row>
    <row r="3" spans="1:8" ht="20" x14ac:dyDescent="0.2">
      <c r="A3" s="140" t="str">
        <f>'Информация о Чемпионате'!B4</f>
        <v>Региональный этап</v>
      </c>
      <c r="B3" s="140"/>
      <c r="C3" s="140"/>
      <c r="D3" s="140"/>
      <c r="E3" s="140"/>
      <c r="F3" s="140"/>
      <c r="G3" s="140"/>
      <c r="H3" s="17"/>
    </row>
    <row r="4" spans="1:8" ht="20" x14ac:dyDescent="0.2">
      <c r="A4" s="139" t="s">
        <v>32</v>
      </c>
      <c r="B4" s="139"/>
      <c r="C4" s="139"/>
      <c r="D4" s="139"/>
      <c r="E4" s="139"/>
      <c r="F4" s="139"/>
      <c r="G4" s="139"/>
      <c r="H4" s="16"/>
    </row>
    <row r="5" spans="1:8" ht="20" x14ac:dyDescent="0.2">
      <c r="A5" s="148" t="str">
        <f>'Информация о Чемпионате'!B3</f>
        <v>Программные решения для бизнеса</v>
      </c>
      <c r="B5" s="148"/>
      <c r="C5" s="148"/>
      <c r="D5" s="148"/>
      <c r="E5" s="148"/>
      <c r="F5" s="148"/>
      <c r="G5" s="148"/>
      <c r="H5" s="18"/>
    </row>
    <row r="6" spans="1:8" ht="20" x14ac:dyDescent="0.2">
      <c r="A6" s="129" t="s">
        <v>14</v>
      </c>
      <c r="B6" s="145"/>
      <c r="C6" s="145"/>
      <c r="D6" s="145"/>
      <c r="E6" s="145"/>
      <c r="F6" s="145"/>
      <c r="G6" s="145"/>
      <c r="H6" s="52"/>
    </row>
    <row r="7" spans="1:8" ht="30" x14ac:dyDescent="0.2">
      <c r="A7" s="3" t="s">
        <v>6</v>
      </c>
      <c r="B7" s="3" t="s">
        <v>5</v>
      </c>
      <c r="C7" s="5" t="s">
        <v>4</v>
      </c>
      <c r="D7" s="3" t="s">
        <v>3</v>
      </c>
      <c r="E7" s="3" t="s">
        <v>2</v>
      </c>
      <c r="F7" s="3" t="s">
        <v>1</v>
      </c>
      <c r="G7" s="3" t="s">
        <v>15</v>
      </c>
    </row>
    <row r="8" spans="1:8" ht="30" x14ac:dyDescent="0.2">
      <c r="A8" s="6">
        <v>1</v>
      </c>
      <c r="B8" s="42" t="s">
        <v>74</v>
      </c>
      <c r="C8" s="42" t="s">
        <v>146</v>
      </c>
      <c r="D8" s="33"/>
      <c r="E8" s="34">
        <v>1</v>
      </c>
      <c r="F8" s="34" t="s">
        <v>147</v>
      </c>
      <c r="G8" s="23"/>
    </row>
    <row r="9" spans="1:8" ht="30" x14ac:dyDescent="0.2">
      <c r="A9" s="6">
        <v>2</v>
      </c>
      <c r="B9" s="42" t="s">
        <v>75</v>
      </c>
      <c r="C9" s="42" t="s">
        <v>146</v>
      </c>
      <c r="D9" s="33"/>
      <c r="E9" s="34">
        <v>1</v>
      </c>
      <c r="F9" s="34" t="s">
        <v>147</v>
      </c>
      <c r="G9" s="23"/>
    </row>
    <row r="10" spans="1:8" x14ac:dyDescent="0.2">
      <c r="A10" s="6">
        <v>3</v>
      </c>
      <c r="B10" s="42" t="s">
        <v>203</v>
      </c>
      <c r="C10" s="42" t="s">
        <v>204</v>
      </c>
      <c r="D10" s="33"/>
      <c r="E10" s="34">
        <v>1</v>
      </c>
      <c r="F10" s="34" t="s">
        <v>147</v>
      </c>
      <c r="G10" s="23"/>
    </row>
    <row r="11" spans="1:8" ht="45" x14ac:dyDescent="0.2">
      <c r="A11" s="6">
        <v>4</v>
      </c>
      <c r="B11" s="42" t="s">
        <v>76</v>
      </c>
      <c r="C11" s="151" t="s">
        <v>245</v>
      </c>
      <c r="D11" s="31"/>
      <c r="E11" s="34">
        <v>1</v>
      </c>
      <c r="F11" s="34" t="s">
        <v>147</v>
      </c>
      <c r="G11" s="23"/>
    </row>
  </sheetData>
  <mergeCells count="6">
    <mergeCell ref="A6:G6"/>
    <mergeCell ref="A1:G1"/>
    <mergeCell ref="A5:G5"/>
    <mergeCell ref="A2:G2"/>
    <mergeCell ref="A3:G3"/>
    <mergeCell ref="A4:G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Информация о Чемпионате</vt:lpstr>
      <vt:lpstr>Общая инфраструктура</vt:lpstr>
      <vt:lpstr>Рабочее место конкурсантов</vt:lpstr>
      <vt:lpstr>Расходные материалы</vt:lpstr>
      <vt:lpstr>Личный инструмент конкурсанта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Vector</dc:creator>
  <cp:lastModifiedBy>Microsoft Office User</cp:lastModifiedBy>
  <dcterms:created xsi:type="dcterms:W3CDTF">2023-01-11T12:24:27Z</dcterms:created>
  <dcterms:modified xsi:type="dcterms:W3CDTF">2025-10-13T07:26:10Z</dcterms:modified>
</cp:coreProperties>
</file>