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C:\Users\krivonosova.nv\Desktop\Профессионалы 2027\ПРдБ_2027_РЭЧ_типовой\"/>
    </mc:Choice>
  </mc:AlternateContent>
  <xr:revisionPtr revIDLastSave="0" documentId="13_ncr:1_{0FA1574B-A3F1-450B-BA72-7A6273D54E45}" xr6:coauthVersionLast="47" xr6:coauthVersionMax="47" xr10:uidLastSave="{00000000-0000-0000-0000-000000000000}"/>
  <bookViews>
    <workbookView xWindow="-28920" yWindow="-120" windowWidth="29040" windowHeight="15840" xr2:uid="{00000000-000D-0000-FFFF-FFFF00000000}"/>
  </bookViews>
  <sheets>
    <sheet name="Критерии оценки" sheetId="1" r:id="rId1"/>
    <sheet name="Перечень профессиональных задач" sheetId="2" r:id="rId2"/>
  </sheets>
  <definedNames>
    <definedName name="_1livtg6qggri" localSheetId="0">'Критерии оценки'!$A$127</definedName>
    <definedName name="_27tkfxbkcv55" localSheetId="0">'Критерии оценки'!$A$379</definedName>
    <definedName name="_2bq3ttlknrz6" localSheetId="0">'Критерии оценки'!$A$251</definedName>
    <definedName name="_3v0ufveuzorm" localSheetId="0">'Критерии оценки'!$A$370</definedName>
    <definedName name="_4vee4zjgmgv1" localSheetId="0">'Критерии оценки'!$A$360</definedName>
    <definedName name="_6hd82t4wjzkt" localSheetId="0">'Критерии оценки'!#REF!</definedName>
    <definedName name="_7rslhrryyt06" localSheetId="0">'Критерии оценки'!$A$342</definedName>
    <definedName name="_89mx119h3rng" localSheetId="0">'Критерии оценки'!$A$326</definedName>
    <definedName name="_8zue4x2ncv59" localSheetId="0">'Критерии оценки'!$A$109</definedName>
    <definedName name="_9r3dh0tqvnny" localSheetId="0">'Критерии оценки'!$A$237</definedName>
    <definedName name="_asusgf1xjee3" localSheetId="0">'Критерии оценки'!#REF!</definedName>
    <definedName name="_azvco86an92c" localSheetId="0">'Критерии оценки'!$A$240</definedName>
    <definedName name="_bxq1pqgite3f" localSheetId="0">'Критерии оценки'!$A$232</definedName>
    <definedName name="_diwb194xsx7p" localSheetId="0">'Критерии оценки'!$A$316</definedName>
    <definedName name="_fjksklds0av7" localSheetId="0">'Критерии оценки'!$A$330</definedName>
    <definedName name="_h6d2rntjccnf" localSheetId="0">'Критерии оценки'!$A$205</definedName>
    <definedName name="_hbh1n7pi4ddo" localSheetId="0">'Критерии оценки'!$A$276</definedName>
    <definedName name="_ho9d0cgr2dnv" localSheetId="0">'Критерии оценки'!#REF!</definedName>
    <definedName name="_k2sm3mz5y5h" localSheetId="0">'Критерии оценки'!$A$274</definedName>
    <definedName name="_kyeh999nsh04" localSheetId="0">'Критерии оценки'!$A$332</definedName>
    <definedName name="_qi1d8w5gw9" localSheetId="0">'Критерии оценки'!$A$303</definedName>
    <definedName name="_qwim4dh4azp5" localSheetId="0">'Критерии оценки'!$A$233</definedName>
    <definedName name="_upv8nqeyfd6t" localSheetId="0">'Критерии оценки'!$A$111</definedName>
    <definedName name="_w06yohdrsak8" localSheetId="0">'Критерии оценки'!$A$352</definedName>
    <definedName name="_wm7qbgeik0zp" localSheetId="0">'Критерии оценки'!#REF!</definedName>
    <definedName name="_wwxgysrghf6b" localSheetId="0">'Критерии оценки'!#REF!</definedName>
    <definedName name="_x05zgbhykyhx" localSheetId="0">'Критерии оценки'!$A$291</definedName>
    <definedName name="_x9q8uxduj91w" localSheetId="0">'Критерии оценки'!$A$305</definedName>
    <definedName name="_xazgulhd8t9x" localSheetId="0">'Критерии оценки'!$A$261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4" i="1" l="1"/>
  <c r="I172" i="1"/>
  <c r="I194" i="1"/>
  <c r="I6" i="1" l="1"/>
  <c r="I230" i="1" s="1"/>
</calcChain>
</file>

<file path=xl/sharedStrings.xml><?xml version="1.0" encoding="utf-8"?>
<sst xmlns="http://schemas.openxmlformats.org/spreadsheetml/2006/main" count="635" uniqueCount="431">
  <si>
    <t>Наименование критерия</t>
  </si>
  <si>
    <t>А</t>
  </si>
  <si>
    <t>Код</t>
  </si>
  <si>
    <t>Тип аспекта</t>
  </si>
  <si>
    <t>Методика проверки аспекта</t>
  </si>
  <si>
    <t>Аспект</t>
  </si>
  <si>
    <t>И</t>
  </si>
  <si>
    <t>С</t>
  </si>
  <si>
    <t>Судейский балл</t>
  </si>
  <si>
    <t>Макс. балл</t>
  </si>
  <si>
    <t>Б</t>
  </si>
  <si>
    <t>В</t>
  </si>
  <si>
    <t>Мероприятие</t>
  </si>
  <si>
    <t>Требование или номинальный размер</t>
  </si>
  <si>
    <t>Наименование компетенции</t>
  </si>
  <si>
    <t>Перечень профессиональных задач</t>
  </si>
  <si>
    <t>Проф. задача</t>
  </si>
  <si>
    <t>Г</t>
  </si>
  <si>
    <t>Итого:</t>
  </si>
  <si>
    <t>Субкритерий</t>
  </si>
  <si>
    <t>Программные решения для бизнеса</t>
  </si>
  <si>
    <t>Проектирование программных решений</t>
  </si>
  <si>
    <t>Диаграмма вариантов использования</t>
  </si>
  <si>
    <t>Акторы определены верно</t>
  </si>
  <si>
    <t>- 0,25 балла за каждый пропущенный или лишний актор; -0.10 балла за некорректное описание (например, неправильное название или роль)</t>
  </si>
  <si>
    <t>Варианты использования (Use Cases) определены верно</t>
  </si>
  <si>
    <t>-1 балл за каждый пропущенный или лишний вариант использования.
-0.5 балла за некорректное описание варианта использования.</t>
  </si>
  <si>
    <t>Связи между акторами и вариантами использования определены верно</t>
  </si>
  <si>
    <t>-0.5 балла за некорректный тип связи (например, ассоциация вместо включения или расширения</t>
  </si>
  <si>
    <t>Использование отношений включения (include) и расширения (extend)</t>
  </si>
  <si>
    <t>-0,5 балла за каждое отсутствующее/неверно определенное отношение
-0.25 балла за некорректное использование отношения.</t>
  </si>
  <si>
    <t>Оформление диаграммы соответствует стандарту UML</t>
  </si>
  <si>
    <t>-0,15 балла за нарушение стандартов UML (неправильные обозначения, стрелки и т.д.).
-0.1 балла за плохую читаемость или структурированность диаграммы.</t>
  </si>
  <si>
    <t>Пользователи определены верно</t>
  </si>
  <si>
    <t>-0,25  за каждый пропущенный или неверно определенный  пользователь; -0.1 балла за некорректное описание роли</t>
  </si>
  <si>
    <t>Начало и конец процесса определены</t>
  </si>
  <si>
    <t>Функции выделены верно и соответствуют заданию</t>
  </si>
  <si>
    <t>-0,5 балла за каждый пропущенный или ошибочный элемент функции; -0.25 балла за некорректное описание</t>
  </si>
  <si>
    <t>Последовательность функций определена верно и соответствует заданию</t>
  </si>
  <si>
    <t>-0,25 балла за пропущенный переход; -0,15 балла за некорректный порядок выполнения</t>
  </si>
  <si>
    <t>Ветвления, слияния и синхронизации применены и соответствуют заданию</t>
  </si>
  <si>
    <t>-0,5 за пропущенное ветвление, слияние или синхронизацию; -0.25 балла за некорректное использование</t>
  </si>
  <si>
    <t>Диаграмма деятельности</t>
  </si>
  <si>
    <t>Диаграмма классов</t>
  </si>
  <si>
    <t>Граница системы определена корректно</t>
  </si>
  <si>
    <t>"-0,3 за отсутствие границы; -0,15 за некорректное размещение элементов</t>
  </si>
  <si>
    <t>Основные сущности выделены верно</t>
  </si>
  <si>
    <t>-0,5 за каждую пропущенную сущность; -0,25 за некорректную</t>
  </si>
  <si>
    <t>Атрибуты классов определены корректно</t>
  </si>
  <si>
    <t>-0,2 за отсутствие ключевого атрибута; -0,1 за ошибочный атрибут</t>
  </si>
  <si>
    <t>Связи между классами определены корректно</t>
  </si>
  <si>
    <t>-0,3 за отсутствующую связь; -0,2 за неверную</t>
  </si>
  <si>
    <t>Кратности указаны и корректны</t>
  </si>
  <si>
    <t>-0,25 за отсутствие; -0,2 за ошибку</t>
  </si>
  <si>
    <t>Разделение сущностей выполнено</t>
  </si>
  <si>
    <t>-0,5 за отсутствие; -0,25 за частичную реализацию</t>
  </si>
  <si>
    <t>Оформление соответствует UML</t>
  </si>
  <si>
    <t>-0,15 за нарушение; -0,1 за нечитаемость</t>
  </si>
  <si>
    <t>Культура безопасного труда и бережливое производство</t>
  </si>
  <si>
    <t>Системный анализ и проектирование программных решений</t>
  </si>
  <si>
    <t>Организация работы с данными</t>
  </si>
  <si>
    <t>Разработка программных решений</t>
  </si>
  <si>
    <t>Определение качества программных решений</t>
  </si>
  <si>
    <t>Документирование и презентация программных решений</t>
  </si>
  <si>
    <t>Организация работ в соответствии с отраслевыми стандартами</t>
  </si>
  <si>
    <t>Основные сущности определены в полном объеме</t>
  </si>
  <si>
    <t>Минус 20% за каждую ошибку</t>
  </si>
  <si>
    <t>Все атрибуты (поля) рассмотрены и определены (в минимальном наборе сущностей, вычитая за отсутствующие)</t>
  </si>
  <si>
    <t>Минус 10% за каждую ошибку</t>
  </si>
  <si>
    <t>Идентификатор в таблице присутствует (в минимальном наборе сущностей)</t>
  </si>
  <si>
    <t>Все типы данных заданы неизбыточно и реализованы требования к ограничениям типов (в минимальном наборе сущностей, вычитая за отсутствующие)</t>
  </si>
  <si>
    <t>Разработанная база данных находится в 1НФ (при наличии 80% минимального набора сущностей и связей)</t>
  </si>
  <si>
    <t>Разработанная база данных находится в 2НФ (при наличии 80% минимального набора сущностей и связей)</t>
  </si>
  <si>
    <t>Разработанная база данных находится в 3НФ (при наличии 80% минимального набора сущностей и связей)</t>
  </si>
  <si>
    <t>Отношения определены правильно (в минимальном наборе сущностей)</t>
  </si>
  <si>
    <t>Таблицы и поля названы в соответствии с индустриальными стандартами</t>
  </si>
  <si>
    <t>Названия таблиц и полей содержат орфографические ошибки и/или записаны в разном стиле</t>
  </si>
  <si>
    <t>Названия таблиц и полей позволяют однозначно идентифицировать их содержимое</t>
  </si>
  <si>
    <t>Названия таблиц и полей отождествляются с сущностями и атрибутами предметной области однозначно</t>
  </si>
  <si>
    <t>Названия таблиц и полей в едином стиле, падеже, числе и дают полное и очевидное понимание хранимых данных</t>
  </si>
  <si>
    <t>Основные сущности наполнены тестовыми данными (в минимальном наборе сущностей)</t>
  </si>
  <si>
    <t>Минус 0,2 за каждую таблицу с отсутствующими записями за исключением импортируемых. Данные должны быть осмысленные</t>
  </si>
  <si>
    <t>Ограничения целостности данных</t>
  </si>
  <si>
    <t>Культура безопасного труда</t>
  </si>
  <si>
    <t>Работа конкурсанта соответствует Инструкции по охране труда (Сессия 1)</t>
  </si>
  <si>
    <t>Работа конкурсанта соответствует Инструкции по охране труда (Сессия 2)</t>
  </si>
  <si>
    <t>Работа конкурсанта соответствует Инструкции по охране труда (Сессия 3)</t>
  </si>
  <si>
    <t>Работа конкурсанта соответствует Инструкции по охране труда (Сессия 4)</t>
  </si>
  <si>
    <t>Документирование и оформление решения</t>
  </si>
  <si>
    <t>Профессиональная культура</t>
  </si>
  <si>
    <t>Конкурсант демонстрирует понимание задачи, понимание отраслевых стандартов, дает рекомендации по улучшению системы</t>
  </si>
  <si>
    <t>Демонстрация работы экспертной группе (Сессия 1)</t>
  </si>
  <si>
    <t>Тестирование программных решений</t>
  </si>
  <si>
    <t>Разработка API</t>
  </si>
  <si>
    <t>Региональный этап чемпионата по профессиональному мастерству "Профессионалы"</t>
  </si>
  <si>
    <t>Проектирование и реализация базы данных</t>
  </si>
  <si>
    <t>Ограничение уникальности инвентарного номера оборудования (UNIQUE)</t>
  </si>
  <si>
    <t>Тест: Выполняется INSERT двух записей с одинаковым инвентарным номером оборудования. Вычесть 0,30 баллов, если запись с дублирующимся инвентарным номером успешно добавлена в таблицу (ограничение отсутствует или не работает). Вычесть 0,30 баллов, если СУБД блокирует операцию с ошибкой нарушения уникальности ключа (unique constraint violation).</t>
  </si>
  <si>
    <t>Ограничение уникальности номера заявки (UNIQUE)</t>
  </si>
  <si>
    <t>Тест: Попытка вставки двух заявок с идентичным номером (например, Z-2026-0001). Вычесть 0,30 баллов, если в таблице заявок допущено дублирование номера заявки. Вычесть 0,30 баллов, если СУБД возвращает ошибку нарушения уникальности.</t>
  </si>
  <si>
    <t>Ограничение уникальности адреса электронной почты пользователя (UNIQUE)</t>
  </si>
  <si>
    <t>Тест: Добавление двух пользователей с одинаковым значением поля email. Вычесть 0,30 баллов, если СУБД позволяет создать две учетные записи с одинаковым email. Вычесть 0,30 баллов, если операция прерывается с ошибкой уникальности.</t>
  </si>
  <si>
    <t>Ограничение уникальности номера телефона пользователя (UNIQUE)</t>
  </si>
  <si>
    <t>Тест: Добавление двух пользователей с одинаковым значением поля phone. Вычесть 0,30 баллов, если дублирование номеров телефонов допустимо в схеме таблицы. Вычесть 0,30 баллов, если СУБД возвращает ошибку нарушения ограничения уникальности.</t>
  </si>
  <si>
    <t>Проверка хронологии ввода оборудования: ввод в эксплуатацию ≤ ввод в работу ≤ текущая дата (CHECK)</t>
  </si>
  <si>
    <t>Тест: Попытка добавления оборудования, где: а) дата ввода в работу раньше даты ввода в эксплуатацию; б) дата ввода в работу из будущего. Вычесть 0,30 баллов, если некорректные даты успешно сохраняются в БД. Вычесть 0,30 баллов, если срабатывает CHECK-ограничение таблицы, отклоняя операцию.</t>
  </si>
  <si>
    <t>Проверка даты списания оборудования: дата списания &gt; дата ввода в эксплуатацию (CHECK)</t>
  </si>
  <si>
    <t>Тест: Добавление/обновление списанного оборудования с датой списания меньше даты ввода в эксплуатацию. Вычесть 0,30 баллов, если запись с датой списания раньше даты ввода успешно зафиксирована. Вычесть 0,30 баллов, если операция отклонена ограничением таблицы.</t>
  </si>
  <si>
    <t>Хронология плановых дат заявки: дата создания ≤ плановое начало &lt; плановое окончание (CHECK)</t>
  </si>
  <si>
    <t>Тест: Вставка заявки, где дата планового окончания раньше даты планового начала или дата планового начала раньше создания. Вычесть 0,30 баллов, если некорректный интервал плановых дат сохранен в БД. Вычесть 0,30 баллов, если запрос завершается ошибкой ограничения целостности.</t>
  </si>
  <si>
    <t>Хронология фактических дат заявки: дата создания ≤ факт. начало &lt; факт. окончание (CHECK)</t>
  </si>
  <si>
    <t>Тест: Вставка/обновление заявки, где фактическое окончание работ раньше фактического начала. Вычесть 0,30 баллов, если СУБД пропускает некорректные даты выполнения работ. Вычесть 0,30 баллов, если операция блокируется на уровне таблицы.</t>
  </si>
  <si>
    <t>Допустимые значения статуса оборудования (CHECK / ENUM)</t>
  </si>
  <si>
    <t>Тест: Попытка записи произвольного статуса оборудования (например, 'сломано', 'тест') вместо фиксированного перечня: «в работе», «в ремонте», «в простое», «выведено из эксплуатации». Вычесть 0,30 баллов, если произвольный статус сохраняется в БД. Вычесть 0,30 баллов, если операция отклоняется СУБД.</t>
  </si>
  <si>
    <t>Допустимые значения статуса заявки (CHECK / ENUM)</t>
  </si>
  <si>
    <t>Тест: Попытка записи неутвержденного статуса вместо регламентированного списка: «создана», «назначена», «в работе», «ожидает материалов», «выполнена», «закрыта», «отменена». Вычесть 0,30 баллов, если в таблицу сохраняется произвольный статус заявки. Вычесть 0,30 баллов, если СУБД блокирует некорректное значение.</t>
  </si>
  <si>
    <t>Допустимые значения приоритета заявки (CHECK / ENUM)</t>
  </si>
  <si>
    <t>Тест: Вставка заявки со значением приоритета вне списка: «низкий», «средний», «высокий», «критический». Вычесть 0,30 баллов, если статус приоритета вне допустимого диапазона принимается СУБД. Вычесть 0,30 баллов, если СУБД возвращает ошибку нарушения ограничения.</t>
  </si>
  <si>
    <t>Защита от удаления оборудования со связанными данными (ON DELETE RESTRICT)</t>
  </si>
  <si>
    <t>Тест: Выполняется запрос DELETE FROM equipment WHERE id = ... для оборудования, имеющего связанные строки в заявках или графике ТО. Вычесть 0,30 баллов, если оборудование физически удаляется (каскадно уничтожая историю заявок) либо возникает неконтролируемое падение СУБД. Вычесть 0,30 баллов, если удаление блокируется внешним ключом с правилом RESTRICT или NO ACTION.</t>
  </si>
  <si>
    <t>Каскадное удаление списанных материалов при удалении заявки (ON DELETE CASCADE)</t>
  </si>
  <si>
    <t>Тест: Создается тестовая заявка со строками списанных материалов, затем выполняется DELETE этой заявки. Вычесть 0,30 баллов, если удаление блокируется ошибкой внешнего ключа либо в таблице списаний остаются осиротевшие записи (orphan records). Вычесть 0,30 баллов, если связанные записи о списании материалов автоматически удаляются вместе с заявкой.</t>
  </si>
  <si>
    <t>Триггер №1: Запрет изменения статуса оборудования с «выведено из эксплуатации»</t>
  </si>
  <si>
    <t>Тест: Для оборудования со статусом «выведено из эксплуатации» выполняется UPDATE equipment SET status = 'в работе'. Вычесть 0,80 баллов, если статус списанного оборудования успешно изменен на любой другой. Вычесть 0,40 баллов, если триггер существует, но срабатывает только при INSERT или блокирует переход на любые другие статусы даже для исправного оборудования. Вычесть 0,80 баллов, если триггер перехватывает UPDATE, отменяет транзакцию (RAISE EXCEPTION / SIGNAL SQLSTATE) и выдает понятное сообщение о невозможности повторного ввода в эксплуатацию списанной единицы.</t>
  </si>
  <si>
    <t>Триггер №2: Комплексная проверка корректности дат при создании/обновлении заявок</t>
  </si>
  <si>
    <t>Тест: Попытка INSERT или UPDATE заявки с датой создания из будущего либо с датой начала ранее даты создания заявки. Вычесть 0,80 баллов, если триггер отсутствует или пропускает некорректные даты. Вычесть 0,40 баллов, если триггер проверяет только операцию INSERT, но игнорирует изменение дат через UPDATE. Вычесть 0,80 баллов, если триггер срабатывает на BEFORE INSERT OR UPDATE, валидирует весь набор дат относительно текущего времени и друг друга, отменяя транзакцию при нарушении.</t>
  </si>
  <si>
    <t>Хранимая функция №1: Расчёт времени простоя оборудования за период</t>
  </si>
  <si>
    <t>Тест: Вызов функции calculate_downtime(equipment_id, start_date, end_date) на тестовых данных с известным количеством часов простоя в статусах «в работе» / «выполнена». Вычесть 0,80 баллов, если функция отсутствует, падает с ошибкой выполнения или возвращает неверную сумму часов. Вычесть 0,40 баллов, если функция считает простой, но не фильтрует заявки строго по заданному интервалу дат или статусам. Вычесть 0,80 баллов, если функция возвращает точное числовое значение простоя в часах за указанный период.</t>
  </si>
  <si>
    <t>Хранимая функция №2: Расчёт следующей плановой даты ТО</t>
  </si>
  <si>
    <t>Тест: Вызов функции get_next_maintenance_date(equipment_id, to_type_id): а) для оборудования с историей выполненных ТО; б) для оборудования без единого ТО. Вычесть 0,80 баллов, если функция отсутствует либо выдает NULL/ошибку при отсутствии предыдущих записей ТО. Вычесть 0,40 баллов, если функция корректно считает дату от последнего ТО, но падает, если ТО проводится впервые (не использует дату ввода в эксплуатацию как базовую точку). Вычесть 0,80 баллов, если оба сценария возвращают точную расчетную дату с учетом норматива периодичности.</t>
  </si>
  <si>
    <t>Хранимая процедура №3: Формирование сводного отчёта по цеху за период</t>
  </si>
  <si>
    <t>Тест: Вызов процедуры/функции генерации отчета generate_workshop_report(workshop_id, start_date, end_date). Вычесть 0,80 баллов, если процедура отсутствует или не компилируется. Вычесть 0,40 баллов, если процедура возвращает результат, но отсутствуют обязательные агрегаты (например, нет топ-5 материалов по расходу или распределения оборудования по статусам). Вычесть 0,80 баллов, если процедура возвращает полную выборку/таблицу со всеми требуемыми показателями: парк, статусы, количество и динамика заявок, суммарный простой, топ-5 материалов.</t>
  </si>
  <si>
    <t>Унифицированный формат ответов API (success, data, message, error_code)</t>
  </si>
  <si>
    <t>Тест: Выполняются успешный GET-запрос и заведомо ошибочный POST-запрос. Проверяется структура JSON-ответа. Вычесть 0,50 баллов, если формат ответов не стандартизирован (возвращаются «сырые» массивы/строки без полей success и data). Вычесть 0,25 баллов, если структура соблюдается частично (например, отсутствует поле message при успехе или error_code при ошибках). Баллы не вычитаются, если все ответы строго следуют контракту {success: bool, data: ..., message: string}.</t>
  </si>
  <si>
    <t>Корректность применения кодов HTTP-статусов</t>
  </si>
  <si>
    <t>Тест: Проверяются ответы сервера при разных сценариях: успешное создание (201), чтение (200), невалидный запрос (400), отсутствие ресурса (404), конфликт (409). Вычесть 0,40 баллов, если сервер возвращает 200 OK на любые ошибки (включая ошибки валидации). Вычесть 0,20 баллов, если при создании сущности вместо 201 возвращается 200, либо при ошибках валидации возвращается 500 вместо 400. Баллы не вычитаются, если коды статусов строго соответствуют спецификации REST.</t>
  </si>
  <si>
    <t>Аутентификация и выпуск JWT токенов</t>
  </si>
  <si>
    <t>Тест: Отправка POST /auth/login с корректными и некорректными учетными данными; проверка защищенных роутов без заголовка Authorization. Вычесть 0,50 баллов, если защищенные эндпоинты доступны без токена или токен не валидируется. Вычесть 0,25 баллов, если при неверных логине/пароле возвращается 500 или 200 вместо 401 Unauthorized. Баллы не вычитаются, если токен выпускается, при отсутствии/невалидности токена возвращается 401.</t>
  </si>
  <si>
    <t>Разграничение прав доступа (RBAC)</t>
  </si>
  <si>
    <t>Тест: Запрос к нормативным справочникам ТО от имени мастера, запрос к оборудованию другого цеха мастером цеха. Вычесть 0,40 баллов, если мастер цеха может редактировать справочники видов ТО или видеть/изменять оборудование чужого цеха. Вычесть 0,20 баллов, если при попытке запрещенной операции возвращается 500 или 404 вместо 403 Forbidden. Баллы не вычитаются, если роли строго изолированы, возвращается 403 Forbidden.</t>
  </si>
  <si>
    <t>Получение реестра оборудования с фильтрацией и поиском</t>
  </si>
  <si>
    <t>Тест: Запрос GET /equipment с query-параметрами: workshop_id, status, search (по инв. номеру/наименованию). Вычесть 0,50 баллов, если эндпоинт отсутствует или не возвращает список. Вычесть 0,25 баллов, если не работает фильтрация по статусу или поиск по инвентарному номеру. Баллы не вычитаются, если возвращается отфильтрованный список с постраничной навигацией (пагинацией).</t>
  </si>
  <si>
    <t>Детальная карточка оборудования с историей заявок и статусов</t>
  </si>
  <si>
    <t>Тест: Запрос GET /equipment/{id} для единицы оборудования, имеющей историю ремонтов. Вычесть 0,40 баллов, если возвращаются только базовые атрибуты, история заявок и простоев отсутствует. Вычесть 0,20 баллов, если история возвращается, но отсутствуют даты переходов статусов или привязанные заявки. Баллы не вычитаются, если возвращается полный объект: характеристики, история статусов и массив связанных заявок.</t>
  </si>
  <si>
    <t>Добавление, изменение и безопасное удаление оборудования</t>
  </si>
  <si>
    <t>Тест: Создание (POST), обновление параметров (PUT), удаление оборудования (DELETE), у которого есть заявки. Вычесть 0,40 баллов, если оборудование с заявками физически удаляется из БД (нарушение ссылочной целостности). Вычесть 0,20 баллов, если при попытке удаления связанного оборудования возвращается 500 вместо 409 Conflict / 400 Bad Request. Баллы не вычитаются, если CRUD функционирует корректно, удаление заблокированного оборудования возвращает понятную ошибку.</t>
  </si>
  <si>
    <t>Управление справочником видов ТО и валидация деактивации</t>
  </si>
  <si>
    <t>Тест: Создание/редактирование вида ТО; попытка деактивации вида ТО, на который назначены активные записи в графике. Вычесть 0,40 баллов, если эндпоинты справочника отсутствуют или не сохраняют нормативы периодичности. Вычесть 0,20 баллов, если деактивация вида ТО с активным графиком проходит без предупреждения/блокировки. Баллы не вычитаются, если нормативы управляются корректно, деактивация блокируется при наличии активных записей.</t>
  </si>
  <si>
    <t>Получение записей графика, предстоящих и просроченных ТО</t>
  </si>
  <si>
    <t>Тест: Запросы на получение записей графика с фильтром дат, вызовы GET .../upcoming?days=7 и GET .../overdue. Вычесть 0,50 баллов, если эндпоинты графика не возвращают выборку по датам. Вычесть 0,25 баллов, если список предстоящих ТО не фильтрует по заданному числу дней или просроченные записи не помечаются. Баллы не вычитаются, если записи графика отдаются корректно, предстоящие и просроченные ТО выделяются выборкой.</t>
  </si>
  <si>
    <t>Автоматическая генерация заявки из записи графика ТО</t>
  </si>
  <si>
    <t>Тест: Вызов эндпоинта POST /schedule/{id}/create-order. Вычесть 0,40 баллов, если метод отсутствует или завершается с ошибкой 500. Вычесть 0,20 баллов, если заявка создается, но в нее не подтягиваются данные из графика (оборудование, вид ТО) либо статус записи в графике не меняется на «назначено». Баллы не вычитаются, если заявка успешно создается с типом «плановая», запись графика связывается с заявкой.</t>
  </si>
  <si>
    <t>Создание заявки и автогенерация номера (Z-YYYY-XXXX)</t>
  </si>
  <si>
    <t>Тест: Создание плановой и аварийной заявок через POST /work-orders. Вычесть 0,50 баллов, если создание заявки не работает или номер не генерируется по маске предприятия. Вычесть 0,25 баллов, если для аварийной заявки не проверяется обязательность поля причины отказа. Баллы не вычитаются, если заявка сохраняется со статусом «создана», генерируется уникальный регламентный номер.</t>
  </si>
  <si>
    <t>Реестр заявок с расширенной фильтрацией и детальная карточка</t>
  </si>
  <si>
    <t>Тест: Запрос GET /work-orders с фильтрами по цеху, статусу, приоритету, датам; запрос детальной карточки по ID. Вычесть 0,50 баллов, если фильтры не обрабатываются сервером (отдается весь список без изменений). Вычесть 0,25 баллов, если в детальной карточке заявки отсутствуют таймлайн статусов или прикрепленные материалы. Баллы не вычитаются, если фильтрация работает по всем параметрам, карточка заявки содержит полную информацию.</t>
  </si>
  <si>
    <t>Назначение бригады с контролем занятости</t>
  </si>
  <si>
    <t>Тест: Вызов эндпоинта назначения бригады на заявку; повторный вызов для той же бригады с пересекающимся интервалом работ. Вычесть 0,40 баллов, если статус не переходит в «назначена» или назначение бригады не реализовано. Вычесть 0,20 баллов, если отсутствует проверка загруженности: бригада назначается на две пересекающиеся по времени заявки без предупреждения. Баллы не вычитаются, если назначение фиксируется, статус меняется, при конфликте графиков возвращается ошибка/предупреждение.</t>
  </si>
  <si>
    <t>Завершение работ, отчет и списание материалов</t>
  </si>
  <si>
    <t>Тест: Вызов метода завершения POST /work-orders/{id}/complete с передачей списка израсходованных материалов и отчета. Вычесть 0,50 баллов, если материалы не списываются со склада или статус не переходит в «выполнена». Вычесть 0,25 баллов, если остатки на складе уходят в минус при попытке списать больше, чем есть в наличии (нет валидации остатка). Баллы не вычитаются, если транзакция завершения фиксирует факт. дату, списывает материалы с проверкой остатка и меняет статус заявки.</t>
  </si>
  <si>
    <t>Закрытие заявки мастером и пересчет простоя</t>
  </si>
  <si>
    <t>Тест: Вызов эндпоинта POST /work-orders/{id}/close от имени мастера цеха. Вычесть 0,40 баллов, если перевод в статус «закрыта» недоступен или не срабатывает. Вычесть 0,20 баллов, если заявка закрывается, но время простоя оборудования не обновляется. Баллы не вычитаются, если статус переходит в «закрыта», финальное время простоя оборудования пересчитано и зафиксировано.</t>
  </si>
  <si>
    <t>Сводные показатели KPI для главного дашборда</t>
  </si>
  <si>
    <t>Тест: Запрос GET /analytics/dashboard-summary. Вычесть 0,50 баллов, если эндпоинт отсутствует или возвращает статический mock-объект, не связанный с БД. Вычесть 0,25 баллов, если отсутствуют ключевые счетчики (всего оборудования/в ремонте, активные/просроченные заявки, простои). Баллы не вычитаются, если возвращаются актуальные агрегированные расчетные показатели по предприятию.</t>
  </si>
  <si>
    <t>Аналитические срезы для визуализации диаграмм</t>
  </si>
  <si>
    <t>Тест: Запросы распределения оборудования по статусам, заявок по цехам и типам. Вычесть 0,40 баллов, если данные не агрегируются на сервере. Вычесть 0,20 баллов, если не поддерживаются параметры фильтрации по периоду (day, week, month) или цеху. Баллы не вычитаются, если отдаются сформированные массивы для графиков с поддержкой фильтров по периодам.</t>
  </si>
  <si>
    <t>Аналитика простоев оборудования и эффективности бригад</t>
  </si>
  <si>
    <t>Тест: Запросы GET /analytics/downtime-dynamics, «Топ-5 оборудования по простоям», рейтинг эффективности бригад. Вычесть 0,50 баллов, если методы отсутствуют или не возвращают временные ряды. Вычесть 0,25 баллов, если в динамике простоев не группируются даты или в рейтинге бригад отсутствует среднее время выполнения. Баллы не вычитаются, если возвращаются ранжированные списки и временные ряды простоев.</t>
  </si>
  <si>
    <t>Экспорт отчетов в PDF и временные ссылки с тайм-аутом 15 секунд</t>
  </si>
  <si>
    <t>Тест: Запрос генерации ссылки на скачивание отчета POST /reports/export. Скачивание файла на 5-й секунде и повторное обращение на 20-й секунде. Вычесть 0,50 баллов, если экспорт в PDF не генерирует файл или ссылки бессрочны. Вычесть 0,25 баллов, если файл скачивается, но по истечении 15 секунд ссылка продолжает отдавать файл вместо HTTP 403 / 410. Баллы не вычитаются, если формируется валидный документ, ссылка успешно отдает файл до 15 сек и блокируется после.</t>
  </si>
  <si>
    <t>Валидация входного payload и обработка исключений</t>
  </si>
  <si>
    <t>Тест: Отправка JSON с неверными типами данных (число вместо строки, дата в неверном формате, пустой email, приоритет вне ENUM). Вычесть 0,40 баллов, если сервер возвращает необработанную ошибку 500 с аварийным стеком вызовов (stack trace). Вычесть 0,20 баллов, если возвращается 400 Bad Request, но текст ошибки пустой или не указывает на проблемное поле. Баллы не вычитаются, если возвращается HTTP 400 с информативным сообщением о конкретном нарушенном поле.</t>
  </si>
  <si>
    <t>Desktop: нативная реализация без WebView и гибридных фреймворков</t>
  </si>
  <si>
    <t>Тест: Анализ технологического стека приложения и процесса его запуска. Проверяется отсутствие WebView, встроенного браузера, Electron, NW.js, Tauri с браузерным рендерингом. Вычесть 0,50 баллов, если приложение собрано на Electron, NW.js, Tauri или использует WebView/встроенный браузер. Вычесть 0,25 баллов, если нативный фреймворк используется частично, но часть экранов реализована через браузерный движок. Баллы не вычитаются, если приложение полностью нативное и не использует гибридных технологий.</t>
  </si>
  <si>
    <t>Desktop: работа только через REST API без прямого доступа к БД</t>
  </si>
  <si>
    <t>Тест: Проверка сетевых запросов приложения и наличия подключений к СУБД. Вычесть 0,50 баллов, если клиент подключается к базе данных напрямую или содержит строки подключения к СУБД. Вычесть 0,25 баллов, если часть операций выполняется в обход API. Баллы не вычитаются, если все операции выполняются исключительно через REST API.</t>
  </si>
  <si>
    <t>Desktop: отсутствие бизнес-логики на стороне клиента</t>
  </si>
  <si>
    <t>Тест: Анализ кода на наличие серверных проверок, расчётов и правил валидации, дублирующих сервер. Вычесть 0,30 баллов, если клиент самостоятельно выполняет расчёты, влияющие на данные (простои, нормативы, остатки). Вычесть 0,15 баллов, если бизнес-логика частично дублируется на клиенте. Баллы не вычитаются, если клиент выполняет только логику отображения и навигации.</t>
  </si>
  <si>
    <t>Desktop: боковое меню с группировкой функций</t>
  </si>
  <si>
    <t>Тест: Проверка наличия меню с пунктами «Главная», «Оборудование», «Заявки», «График ТО», «Материалы», «Бригады», «Отчёты». Вычесть 0,30 баллов, если меню отсутствует или содержит менее пяти разделов. Вычесть 0,15 баллов, если меню есть, но активный пункт не выделяется или группировка нарушена. Баллы не вычитаются, если меню содержит все разделы и активный пункт визуально выделен.</t>
  </si>
  <si>
    <t>Desktop: верхняя панель с данными пользователя и выходом</t>
  </si>
  <si>
    <t>Тест: Проверка отображения ФИО, роли, цеха, аватара и кнопки выхода. Вычесть 0,20 баллов, если панель отсутствует или не отображает пользователя. Вычесть 0,10 баллов, если данные отображаются, но кнопка выхода или меню профиля отсутствуют. Баллы не вычитаются, если панель содержит ФИО, роль, цех, аватар и кнопку выхода.</t>
  </si>
  <si>
    <t>Desktop: хлебные крошки на страницах</t>
  </si>
  <si>
    <t>Тест: Проверка наличия breadcrumbs на всех внутренних экранах. Вычесть 0,20 баллов, если хлебные крошки отсутствуют полностью. Вычесть 0,10 баллов, если они присутствуют только на части экранов. Баллы не вычитаются, если breadcrumbs отображаются на всех страницах и отражают иерархию.</t>
  </si>
  <si>
    <t>Desktop: визуальная обратная связь при действиях</t>
  </si>
  <si>
    <t>Тест: Наведение на кнопку, клик, отправка запроса. Вычесть 0,30 баллов, если реакции на действия отсутствуют. Вычесть 0,15 баллов, если реакция есть только на часть действий (например, нет индикатора загрузки). Баллы не вычитаются, если hover, нажатие и индикатор загрузки отображаются корректно.</t>
  </si>
  <si>
    <t>Desktop: toast-уведомления об успешных операциях</t>
  </si>
  <si>
    <t>Тест: Выполнение успешной операции и проверка появления уведомления. Вычесть 0,20 баллов, если уведомления отсутствуют. Вычесть 0,10 баллов, если уведомление появляется, но не исчезает автоматически за 2-3 секунды. Баллы не вычитаются, если toast отображается корректно и автоматически скрывается.</t>
  </si>
  <si>
    <t>Desktop: модальные окна ошибок с предложением действий</t>
  </si>
  <si>
    <t>Тест: Имитация ошибки API и проверка модального окна. Вычесть 0,30 баллов, если ошибка отображается без пояснения или приложение падает. Вычесть 0,15 баллов, если сообщение есть, но нет кнопок «Повторить попытку» / «Отмена». Баллы не вычитаются, если модальное окно содержит понятное описание и варианты действий.</t>
  </si>
  <si>
    <t>Desktop: сортировка и пагинация таблиц</t>
  </si>
  <si>
    <t>Тест: Клик по заголовкам столбцов и переключение страниц (25/50/100). Вычесть 0,30 баллов, если сортировка и пагинация отсутствуют. Вычесть 0,15 баллов, если работает только сортировка или только пагинация. Баллы не вычитаются, если обе функции работают на всех таблицах.</t>
  </si>
  <si>
    <t>Desktop: поиск и фильтрация в списках</t>
  </si>
  <si>
    <t>Тест: Поиск по инвентарному номеру, наименованию, номеру заявки; фильтры по статусу, типу, приоритету. Вычесть 0,30 баллов, если поиск и фильтры отсутствуют. Вычесть 0,15 баллов, если работает только текстовый поиск без выпадающих фильтров. Баллы не вычитаются, если поиск и фильтры работают во всех списках.</t>
  </si>
  <si>
    <t>Desktop: асинхронность длительных операций с индикатором прогресса</t>
  </si>
  <si>
    <t>Тест: Загрузка большого списка и формирование отчёта. Вычесть 0,30 баллов, если интерфейс блокируется и зависает. Вычесть 0,15 баллов, если индикатор прогресса отсутствует, но интерфейс не блокируется. Баллы не вычитаются, если операции выполняются асинхронно с отображением прогресса.</t>
  </si>
  <si>
    <t>Desktop: устойчивость к сбоям и отсутствие аварийных завершений</t>
  </si>
  <si>
    <t>Тест: Некорректный ввод, потеря соединения, повторные клики. Вычесть 0,40 баллов, если приложение аварийно завершается хотя бы в одном сценарии. Вычесть 0,20 баллов, если приложение не падает, но зависает при длительных операциях. Баллы не вычитаются, если все ошибки перехватываются и приложение продолжает работу.</t>
  </si>
  <si>
    <t>Desktop: локальное логирование ошибок</t>
  </si>
  <si>
    <t>Тест: Проверка наличия лог-файла после возникновения ошибки. Вычесть 0,20 баллов, если логирование отсутствует. Вычесть 0,10 баллов, если лог ведётся, но не содержит времени, типа и описания ошибки. Баллы не вычитаются, если лог-файл содержит полную информацию для отладки.</t>
  </si>
  <si>
    <t>Desktop: сохранение данных при обрыве связи и автоотправка</t>
  </si>
  <si>
    <t>Тест: Обрыв соединения во время создания заявки, восстановление связи. Вычесть 0,40 баллов, если введённые данные теряются при обрыве. Вычесть 0,20 баллов, если данные сохраняются, но автоотправка не выполняется. Баллы не вычитаются, если данные сохраняются локально и отправляются автоматически после восстановления связи.</t>
  </si>
  <si>
    <t>Desktop: автоблокировка при бездействии 15 секунд</t>
  </si>
  <si>
    <t>Тест: Бездействие пользователя 15 секунд и попытка разблокировки. Вычесть 0,30 баллов, если автоблокировка отсутствует. Вычесть 0,15 баллов, если блокировка срабатывает, но не требует пароля. Баллы не вычитаются, если приложение блокируется через 15 секунд и запрашивает пароль.</t>
  </si>
  <si>
    <t>Тест: Проверка полей ввода email и пароля, валидации формата email, скрытого ввода и кнопки показа пароля. Вычесть 0,30 баллов, если поля отсутствуют или не подписаны. Вычесть 0,15 баллов, если отсутствует валидация email или кнопка показа пароля. Баллы не вычитаются, если оба поля корректны, email валидируется, пароль скрывается с возможностью показа.</t>
  </si>
  <si>
    <t>Тест: Нажатие «Войти» и проверка блокировки полей и кнопки во время запроса. Вычесть 0,30 баллов, если кнопка не блокируется и возможны повторные отправки. Вычесть 0,15 баллов, если блокировка есть, но индикатор загрузки отсутствует. Баллы не вычитаются, если кнопка блокируется, отображается спиннер, поля недоступны.</t>
  </si>
  <si>
    <t>Тест: Вход с включённым чекбоксом, перезапуск приложения. Вычесть 0,20 баллов, если функция отсутствует. Вычесть 0,10 баллов, если токен сохраняется, но при перезапуске не используется. Баллы не вычитаются, если при повторном запуске вход выполняется автоматически.</t>
  </si>
  <si>
    <t>Тест: Неверный пароль, ошибка сервера, отсутствие сети. Вычесть 0,30 баллов, если сообщения отсутствуют или неверны. Вычесть 0,15 баллов, если сообщение есть, но оно не различает типы ошибок. Баллы не вычитаются, если выводятся корректные сообщения для 401, 500 и сетевых ошибок.</t>
  </si>
  <si>
    <t>Тест: Проверка четырёх карточек: оборудование, активные заявки, заявки на сегодня, среднее время выполнения. Вычесть 0,40 баллов, если карточки отсутствуют или содержат статические данные. Вычесть 0,20 баллов, если отображаются не все показатели или нет индикации тренда. Баллы не вычитаются, если все четыре карточки содержат актуальные данные и индикацию тренда.</t>
  </si>
  <si>
    <t>Тест: Проверка таблицы последних 10 заявок с колонками и цветовой индикацией приоритета и статуса. Вычесть 0,30 баллов, если таблица отсутствует. Вычесть 0,15 баллов, если нет цветовой индикации или кнопки «Подробнее». Баллы не вычитаются, если таблица содержит все колонки, цвета и переход в карточку заявки.</t>
  </si>
  <si>
    <t>Тест: Проверка блока ближайших ТО на 7 дней и обновления данных каждые 60 секунд. Вычесть 0,30 баллов, если блок отсутствует или данные не обновляются. Вычесть 0,15 баллов, если блок есть, но просроченные записи не выделены красным. Баллы не вычитаются, если блок отображает 5-7 записей, выделяет просроченные и обновляется автоматически.</t>
  </si>
  <si>
    <t>Тест: Проверка таблицы оборудования, фильтров по статусу и модели, поиска, сортировки и пагинации. Вычесть 0,40 баллов, если таблица или фильтры отсутствуют. Вычесть 0,20 баллов, если работает только часть фильтров или отсутствует пагинация. Баллы не вычитаются, если таблица, фильтры, поиск, сортировка и пагинация работают корректно.</t>
  </si>
  <si>
    <t>Тест: Создание и изменение оборудования через модальные формы с валидацией дат. Вычесть 0,40 баллов, если создание или редактирование не работают. Вычесть 0,20 баллов, если формы есть, но отсутствует валидация дат ввода в эксплуатацию и в работу. Баллы не вычитаются, если CRUD работает, даты валидируются, данные обновляются в таблице.</t>
  </si>
  <si>
    <t>Тест: Удаление оборудования без заявок и с заявками. Вычесть 0,30 баллов, если удаление невозможно или оборудование с заявками удаляется. Вычесть 0,15 баллов, если при конфликте выводится неинформативная ошибка. Баллы не вычитаются, если удаление подтверждается диалогом, а при связанных заявках выводится сообщение о 409 Conflict.</t>
  </si>
  <si>
    <t>Тест: Открытие карточки оборудования и вкладок «Основная информация», «История заявок», «История ТО». Вычесть 0,30 баллов, если карточка отсутствует. Вычесть 0,15 баллов, если карточка есть, но отсутствует хотя бы одна вкладка. Баллы не вычитаются, если карточка содержит все три вкладки и кнопку «Создать заявку».</t>
  </si>
  <si>
    <t>Тест: Добавление записи ТО и вызов «Создать заявку» из строки графика. Вычесть 0,40 баллов, если добавление или создание заявки не работают. Вычесть 0,20 баллов, если заявка создаётся, но данные из графика не подставляются. Баллы не вычитаются, если запись добавляется, а заявка создаётся с предзаполненными полями.</t>
  </si>
  <si>
    <t>Тест: Проверка выбора типа отчёта, периода и цеха; наличие четырёх типов отчётов. Вычесть 0,40 баллов, если панель параметров или типы отчётов отсутствуют. Вычесть 0,20 баллов, если реализованы не все четыре типа отчётов. Баллы не вычитаются, если доступны все четыре типа и параметры настраиваются.</t>
  </si>
  <si>
    <t>Тест: Формирование отчёта по простоям и выполнению ТО с диаграммами. Вычесть 0,30 баллов, если предпросмотр отсутствует. Вычесть 0,15 баллов, если таблица есть, но диаграммы отсутствуют. Баллы не вычитаются, если предпросмотр содержит таблицу и диаграммы.</t>
  </si>
  <si>
    <t>Тест: Формирование и скачивание PDF и XLSX. Вычесть 0,40 баллов, если экспорт не работает. Вычесть 0,20 баллов, если работает только один формат. Баллы не вычитаются, если оба формата формируются и сохраняются корректно.</t>
  </si>
  <si>
    <t>Тест: Запрос списка заявок с комбинацией фильтров и поиском по номеру. Вычесть 0,50 баллов, если реестр заявок отсутствует или фильтры не работают. Вычесть 0,25 баллов, если фильтрация работает частично (например, только по статусу). Баллы не вычитаются, если реестр поддерживает все фильтры, поиск, сортировку и пагинацию.</t>
  </si>
  <si>
    <t>Тест: Открытие карточки заявки и проверка таймлайна, связанных материалов и кнопок действий. Вычесть 0,50 баллов, если карточка отсутствует или не содержит таймлайн. Вычесть 0,25 баллов, если карточка есть, но отсутствуют связанные материалы или история смены статусов. Баллы не вычитаются, если карточка содержит полную информацию и кнопки «Назначить бригаду», «Закрыть заявку».</t>
  </si>
  <si>
    <t>Тест: Создание плановой и аварийной заявки через модальную форму. Вычесть 0,50 баллов, если создание заявки не работает. Вычесть 0,25 баллов, если номер не генерируется по маске Z-YYYY-XXXX или не проверяется причина отказа для аварийной заявки. Баллы не вычитаются, если заявка создаётся с корректным номером и статусом «создана».</t>
  </si>
  <si>
    <t>Тест: Назначение бригады на заявку и повторное назначение с пересекающимся интервалом. Вычесть 0,50 баллов, если назначение бригады не реализовано. Вычесть 0,25 баллов, если отсутствует проверка загруженности бригады. Баллы не вычитаются, если назначение фиксируется, статус меняется на «назначена», при конфликте выводится предупреждение.</t>
  </si>
  <si>
    <t>Тест: Завершение заявки с передачей отчёта и списка материалов. Вычесть 0,50 баллов, если завершение не работает или материалы не списываются. Вычесть 0,25 баллов, если остатки могут уйти в минус без проверки. Баллы не вычитаются, если фиксируется фактическая дата, материалы списываются с проверкой остатка, статус меняется на «выполнена».</t>
  </si>
  <si>
    <t>Тест: Просмотр списка материалов с остатками, поиск, фильтрация по складу. Вычесть 0,40 баллов, если экран материалов отсутствует. Вычесть 0,20 баллов, если список отображается, но остатки не актуальны или отсутствует поиск. Баллы не вычитаются, если реестр материалов содержит актуальные остатки, поиск и фильтрацию.</t>
  </si>
  <si>
    <t>Тест: Просмотр списка бригад цеха с составом и текущей загруженностью. Вычесть 0,40 баллов, если экран бригад отсутствует. Вычесть 0,20 баллов, если отображается только состав без загруженности и активных заявок. Баллы не вычитаются, если экран показывает состав, загруженность и список активных заявок бригады.</t>
  </si>
  <si>
    <t>Desktop: уведомления о событиях и счётчик непрочитанных</t>
  </si>
  <si>
    <t>Тест: Проверка иконки уведомлений со счётчиком и списка событий. Вычесть 0,30 баллов, если уведомления отсутствуют. Вычесть 0,15 баллов, если счётчик есть, но список уведомлений не открывается. Баллы не вычитаются, если уведомления отображаются, счётчик обновляется, список доступен.</t>
  </si>
  <si>
    <t>Desktop: горячие клавиши и ускорение частых операций</t>
  </si>
  <si>
    <t>Тест: Проверка наличия горячих клавиш для частых действий (создание заявки, обновление, поиск). Вычесть 0,30 баллов, если горячие клавиши отсутствуют. Вычесть 0,15 баллов, если реализованы только 1-2 комбинации. Баллы не вычитаются, если основные операции доступны по горячим клавишам.</t>
  </si>
  <si>
    <t>Desktop: сохранение пользовательских настроек между сессиями</t>
  </si>
  <si>
    <t>Тест: Изменение настроек (тема, размер шрифта, колонки таблиц) и перезапуск приложения. Вычесть 0,30 баллов, если настройки не сохраняются. Вычесть 0,15 баллов, если сохраняется только часть настроек. Баллы не вычитаются, если все пользовательские настройки сохраняются и применяются после перезапуска.</t>
  </si>
  <si>
    <t>Web: реализация как SPA на разрешённом фреймворке (React / Vue / Angular)</t>
  </si>
  <si>
    <t>Тест: Анализ технологического стека приложения и структуры сборки. Проверяется использование React, Vue.js или Angular с TypeScript/JavaScript. Вычесть 0,50 баллов, если приложение не является SPA или построено на неразрешённом фреймворке. Вычесть 0,25 баллов, если фреймворк разрешён, но часть экранов реализована вне SPA (полные перезагрузки страниц). Баллы не вычитаются, если приложение полностью реализовано как SPA на разрешённом фреймворке.</t>
  </si>
  <si>
    <t>Web: взаимодействие исключительно через REST API без прямого доступа к БД</t>
  </si>
  <si>
    <t>Тест: Анализ сетевых запросов клиента и наличия прямых подключений к СУБД. Вычесть 0,50 баллов, если клиент обращается к базе данных напрямую или содержит строки подключения. Вычесть 0,25 баллов, если часть операций выполняется в обход API. Баллы не вычитаются, если все операции выполняются исключительно через REST API.</t>
  </si>
  <si>
    <t>Web: адаптивность и корректное отображение от 1024x768 до 1920x1080 и выше</t>
  </si>
  <si>
    <t>Тест: Открытие приложения на разрешениях 1024x768, 1366x768, 1920x1080 и проверка адаптивности. Вычесть 0,40 баллов, если интерфейс ломается или элементы перекрываются на части разрешений. Вычесть 0,20 баллов, если вёрстка работает, но часть блоков не адаптируется под планшет. Баллы не вычитаются, если интерфейс корректно отображается на всех проверяемых разрешениях.</t>
  </si>
  <si>
    <t>Web: время загрузки и интерактивности не более 3-5 секунд</t>
  </si>
  <si>
    <t>Тест: Замер времени загрузки приложения на соединении 10 Мбит/с и времени до интерактивности. Вычесть 0,40 баллов, если приложение загружается дольше 5 секунд или не становится интерактивным. Вычесть 0,20 баллов, если загрузка занимает 3-5 секунд без оптимизаций. Баллы не вычитаются, если приложение загружается и становится интерактивным в пределах 3 секунд.</t>
  </si>
  <si>
    <t>Web: боковое сворачиваемое меню с группировкой разделов</t>
  </si>
  <si>
    <t>Тест: Проверка меню с пунктами «Дашборд», «Аналитика», «Заявки», «Оборудование», «График ТО», «Справочники», «Отчёты», «Пользователи». Вычесть 0,30 баллов, если меню отсутствует или содержит менее шести разделов. Вычесть 0,15 баллов, если меню есть, но не сворачивается или активный пункт не выделяется. Баллы не вычитаются, если меню содержит все разделы, сворачивается и выделяет активный пункт.</t>
  </si>
  <si>
    <t>Web: верхняя панель с глобальным поиском, уведомлениями и профилем</t>
  </si>
  <si>
    <t>Тест: Проверка наличия логотипа, глобального поиска, иконки уведомлений со счётчиком и профиля пользователя. Вычесть 0,30 баллов, если верхняя панель отсутствует или не содержит ключевых элементов. Вычесть 0,15 баллов, если отсутствует глобальный поиск или счётчик уведомлений. Баллы не вычитаются, если панель содержит все элементы и профиль с меню выхода.</t>
  </si>
  <si>
    <t>Web: единая сетка (grid system) для карточек, графиков и таблиц</t>
  </si>
  <si>
    <t>Тест: Проверка выравнивания и единообразия расположения блоков на всех экранах. Вычесть 0,30 баллов, если блоки расположены хаотично без единой сетки. Вычесть 0,15 баллов, если сетка используется частично (не на всех экранах). Баллы не вычитаются, если все страницы используют единую сетку.</t>
  </si>
  <si>
    <t>Web: интерактивные графики с детализацией по клику</t>
  </si>
  <si>
    <t>Тест: Наведение на точки данных и клик по сектору/столбцу диаграммы. Вычесть 0,50 баллов, если графики отсутствуют или неинтерактивны. Вычесть 0,25 баллов, если подсказки при наведении есть, но детализация по клику не работает. Баллы не вычитаются, если графики интерактивны, показывают значения и позволяют перейти к детализации.</t>
  </si>
  <si>
    <t>Web: сортировка, пагинация и поиск в таблицах</t>
  </si>
  <si>
    <t>Тест: Клик по заголовкам столбцов, переключение страниц (25/50/100), поиск по ключевым полям. Вычесть 0,30 баллов, если сортировка, пагинация и поиск отсутствуют. Вычесть 0,15 баллов, если реализована только часть функций. Баллы не вычитаются, если все три функции работают на всех таблицах.</t>
  </si>
  <si>
    <t>Web: индикация загрузки (спиннеры, скелетоны) и toast-уведомления</t>
  </si>
  <si>
    <t>Тест: Выполнение запроса и проверка индикатора загрузки и уведомлений об успехе/ошибке. Вычесть 0,30 баллов, если индикаторы и уведомления отсутствуют. Вычесть 0,15 баллов, если реализован только один тип обратной связи. Баллы не вычитаются, если индикаторы загрузки и toast-уведомления отображаются корректно.</t>
  </si>
  <si>
    <t>Web: обработка ошибок API (400, 403, 404, 409, 500, 429)</t>
  </si>
  <si>
    <t>Тест: Имитация каждого типа ошибки и проверка отображения пользователю. Вычесть 0,50 баллов, если ошибки не обрабатываются или приложение падает. Вычесть 0,25 баллов, если обрабатывается только часть кодов (например, нет 429 или 409). Баллы не вычитаются, если все перечисленные коды обрабатываются с понятными сообщениями.</t>
  </si>
  <si>
    <t>Web: подсветка полей при ошибках валидации (400)</t>
  </si>
  <si>
    <t>Тест: Отправка формы с неверными данными и проверка подсветки конкретных полей. Вычесть 0,30 баллов, если поля не подсвечиваются и ошибки не привязаны к полям. Вычесть 0,15 баллов, если выводится общий блок ошибок без указания полей. Баллы не вычитаются, если ошибочные поля подсвечиваются и рядом выводятся тексты ошибок.</t>
  </si>
  <si>
    <t>Web: WebSocket или SSE для обновления данных в реальном времени</t>
  </si>
  <si>
    <t>Тест: Изменение данных на сервере и проверка автоматического обновления интерфейса. Вычесть 0,50 баллов, если real-time обновления отсутствуют. Вычесть 0,25 баллов, если используется только polling без WebSocket/SSE. Баллы не вычитаются, если клиент подписывается на события и обновляет данные в реальном времени.</t>
  </si>
  <si>
    <t>Web: автоматическое переподключение с экспоненциальной задержкой</t>
  </si>
  <si>
    <t>Тест: Разрыв WebSocket-соединения и проверка попыток переподключения (1, 2, 5, 10 сек). Вычесть 0,40 баллов, если переподключение не выполняется. Вычесть 0,20 баллов, если переподключение есть, но без экспоненциальной задержки. Баллы не вычитаются, если переподключение выполняется с нарастающей задержкой и индикатором статуса соединения.</t>
  </si>
  <si>
    <t>Web: индикатор статуса соединения в интерфейсе</t>
  </si>
  <si>
    <t>Тест: Отключение сервера и проверка отображения статуса соединения. Вычесть 0,20 баллов, если индикатор отсутствует. Вычесть 0,10 баллов, если индикатор есть, но не отражает восстановление соединения. Баллы не вычитаются, если статус соединения отображается и обновляется корректно.</t>
  </si>
  <si>
    <t>Тест: Наблюдение за обновлением данных дашборда без действий пользователя. Вычесть 0,30 баллов, если автообновление отсутствует. Вычесть 0,15 баллов, если данные обновляются, но без кнопки принудительного обновления. Баллы не вычитаются, если дашборд обновляется автоматически и есть кнопка «Обновить».</t>
  </si>
  <si>
    <t>Тест: Применение фильтров по периоду, цеху, типу заявок и оборудованию. Вычесть 0,50 баллов, если панель фильтров отсутствует. Вычесть 0,25 баллов, если работает только часть фильтров (например, нет множественного выбора цехов). Баллы не вычитаются, если все фильтры работают и применяются к блокам аналитики.</t>
  </si>
  <si>
    <t>Тест: Сохранение комбинации фильтров и повторное применение, сброс фильтров. Вычесть 0,30 баллов, если сохранение шаблонов отсутствует. Вычесть 0,15 баллов, если шаблон сохраняется, но не применяется или отсутствует сброс. Баллы не вычитаются, если шаблоны сохраняются, применяются и есть сброс фильтров.</t>
  </si>
  <si>
    <t>Тест: Проверка таблицы «Заявки по статусам» и круговых диаграмм по типам и приоритетам. Вычесть 0,50 баллов, если блок отсутствует. Вычесть 0,25 баллов, если отсутствует таблица статусов или одна из диаграмм. Баллы не вычитаются, если блок содержит таблицу, обе диаграммы и переходы к спискам заявок.</t>
  </si>
  <si>
    <t>Тест: Проверка графика динамики простоев, таблицы топ-10 и кнопки «Детализация». Вычесть 0,50 баллов, если блок отсутствует. Вычесть 0,25 баллов, если отсутствует график динамики или таблица топ-10. Баллы не вычитаются, если блок содержит график, таблицу и детализацию по оборудованию.</t>
  </si>
  <si>
    <t>Тест: Проверка реестра заявок с фильтрами по цеху, статусу, приоритету, датам и карточки заявки. Вычесть 0,50 баллов, если реестр или карточка отсутствуют. Вычесть 0,25 баллов, если фильтры работают частично или карточка не содержит таймлайн. Баллы не вычитаются, если реестр и карточка содержат полную информацию и фильтры.</t>
  </si>
  <si>
    <t>Тест: Проверка реестра оборудования, фильтров и карточки с историей заявок и ТО. Вычесть 0,50 баллов, если реестр или карточка отсутствуют. Вычесть 0,25 баллов, если карточка не содержит историю заявок или ТО. Баллы не вычитаются, если реестр и карточка содержат все данные и переходы.</t>
  </si>
  <si>
    <t>Тест: Проверка управления справочниками (виды ТО, материалы, бригады, цеха). Вычесть 0,40 баллов, если экран справочников отсутствует. Вычесть 0,20 баллов, если доступен только просмотр без редактирования. Баллы не вычитаются, если справочники доступны для просмотра и редактирования с валидацией.</t>
  </si>
  <si>
    <t>Тест: Формирование отчётов по заявкам, простоям, материалам и ТО с экспортом в PDF и Excel. Вычесть 0,50 баллов, если экран отчётов отсутствует. Вычесть 0,25 баллов, если доступны не все типы отчётов или только один формат экспорта. Баллы не вычитаются, если доступны все типы отчётов и оба формата экспорта.</t>
  </si>
  <si>
    <t>Тест: Проверка списка пользователей, назначения ролей и цехов, блокировки учётных записей. Вычесть 0,40 баллов, если экран отсутствует. Вычесть 0,20 баллов, если доступен только просмотр без управления ролями. Баллы не вычитаются, если экран позволяет управлять пользователями, ролями и цехами.</t>
  </si>
  <si>
    <t>Web: глобальный поиск по системе</t>
  </si>
  <si>
    <t>Тест: Поиск по номеру заявки, инвентарному номеру, ФИО мастера из верхней панели. Вычесть 0,40 баллов, если глобальный поиск отсутствует. Вычесть 0,20 баллов, если поиск работает только по одному типу сущностей. Баллы не вычитаются, если поиск находит заявки, оборудование и пользователей с переходом к объекту.</t>
  </si>
  <si>
    <t>Web: устойчивость к сбоям и отсутствие крашей JavaScript</t>
  </si>
  <si>
    <t>Тест: Некорректный ввод, ошибки API, разрыв соединения. Вычесть 0,50 баллов, если приложение падает или белый экран при ошибке. Вычесть 0,25 баллов, если ошибки перехватываются, но интерфейс частично ломается. Баллы не вычитаются, если все ошибки перехватываются и приложение продолжает работу.</t>
  </si>
  <si>
    <t>Web: логирование ошибок в консоль для отладки</t>
  </si>
  <si>
    <t>Тест: Проверка консоли браузера после возникновения ошибки. Вычесть 0,20 баллов, если ошибки не логируются. Вычесть 0,10 баллов, если логирование есть, но без контекста (тип, стек, данные запроса). Баллы не вычитаются, если ошибки логируются с полным контекстом для отладки.</t>
  </si>
  <si>
    <t>Web: время отклика интерфейса (до 1 сек локально, до 3 сек с запросом)</t>
  </si>
  <si>
    <t>Тест: Замер времени переключения вкладок, сортировки и операций с запросом к серверу. Вычесть 0,40 баллов, если отклик превышает 3 секунды или интерфейс блокируется. Вычесть 0,20 баллов, если локальные операции занимают более 1 секунды. Баллы не вычитаются, если локальные операции до 1 сек, серверные до 3 сек.</t>
  </si>
  <si>
    <t>Тест: Полное прохождение сценария: фильтры за квартал, анализ простоев, экспорт PDF. Вычесть 0,60 баллов, если сценарий невыполним. Вычесть 0,30 баллов, если сценарий выполним, но экспорт или детализация не работают. Баллы не вычитаются, если сценарий выполняется полностью и в разумное время.</t>
  </si>
  <si>
    <t>Тест: Полное прохождение сценария: выбор периода, сравнение цехов, выявление просрочек. Вычесть 0,60 баллов, если сценарий невыполним. Вычесть 0,30 баллов, если сценарий выполним, но нет сравнения цехов или выявления просрочек. Баллы не вычитаются, если сценарий выполняется полностью с наглядной визуализацие</t>
  </si>
  <si>
    <t>Desktop: общие требования</t>
  </si>
  <si>
    <t xml:space="preserve"> Web-клиент</t>
  </si>
  <si>
    <t>Наличие 5 юнит-тестов для заданных функций Desktop-клиента</t>
  </si>
  <si>
    <t>Тест: Проверка наличия ровно пяти тестов, покрывающих calculateDowntimeHours, validateWorkOrder и calculateTotalMaterialCost. Вычесть 0,50 баллов, если тестов меньше пяти или отсутствуют тесты для ключевых функций. Вычесть 0,25 баллов, если реализованы все пять тестов, но часть из них не относится к заданным функциям. Баллы не вычитаются, если присутствуют все пять требуемых тестов.</t>
  </si>
  <si>
    <t>Использование стандартного фреймворка тестирования</t>
  </si>
  <si>
    <t>Тест: Проверка, что тесты написаны на xUnit/NUnit/MSTest, JUnit 5, unittest/pytest или testing/testify. Вычесть 0,30 баллов, если используется самописный фреймворк или тесты не запускаются штатными средствами. Вычесть 0,15 баллов, если фреймворк стандартный, но часть тестов оформлена вне него. Баллы не вычитаются, если все тесты используют стандартный фреймворк.</t>
  </si>
  <si>
    <t>Автоматический запуск тестов без внешних ресурсов</t>
  </si>
  <si>
    <t>Тест: Запуск тестов без базы данных, сети, файловой системы и реального времени. Вычесть 0,40 баллов, если тесты требуют внешних ресурсов или ручной настройки. Вычесть 0,20 баллов, если часть тестов зависит от сети или файловой системы. Баллы не вычитаются, если все тесты полностью автоматические и самодостаточные.</t>
  </si>
  <si>
    <t>Соблюдение структуры AAA (Arrange-Act-Assert)</t>
  </si>
  <si>
    <t>Тест: Анализ кода тестов на наличие трёх логических частей. Вычесть 0,40 баллов, если структура AAA отсутствует или тесты смешивают подготовку и проверку. Вычесть 0,20 баллов, если AAA соблюдается только в части тестов. Баллы не вычитаются, если каждый тест явно разделён на Arrange, Act, Assert.</t>
  </si>
  <si>
    <t>Изоляция тестов и сброс состояния между ними</t>
  </si>
  <si>
    <t>Тест: Проверка наличия setUp/tearDown, @BeforeEach/@AfterEach или аналогов. Вычесть 0,40 баллов, если тесты влияют друг на друга или состояние не сбрасывается. Вычесть 0,20 баллов, если сброс реализован только для части тестов. Баллы не вычитаются, если все тесты изолированы и состояние сбрасывается.</t>
  </si>
  <si>
    <t>Информативные имена тестовых методов</t>
  </si>
  <si>
    <r>
      <t>Тест: Проверка имён по шаблону {Метод}</t>
    </r>
    <r>
      <rPr>
        <i/>
        <sz val="15"/>
        <color rgb="FF0F1115"/>
        <rFont val="Helvetica Neue"/>
        <family val="2"/>
      </rPr>
      <t>{Условие}</t>
    </r>
    <r>
      <rPr>
        <sz val="15"/>
        <color rgb="FF0F1115"/>
        <rFont val="Helvetica Neue"/>
        <family val="2"/>
      </rPr>
      <t>{ОжидаемыйРезультат}. Вычесть 0,30 баллов, если имена неинформативны (test1, test2). Вычесть 0,15 баллов, если шаблон соблюдается частично. Баллы не вычитаются, если все имена отражают условие и ожидаемый результат.</t>
    </r>
  </si>
  <si>
    <t>Тест: Вызов calculateDowntimeHours с корректными датами и проверка числового результата. Вычесть 0,50 баллов, если тест отсутствует или не проверяет результат. Вычесть 0,25 баллов, если проверяется только факт вызова без сверки значения. Баллы не вычитаются, если тест проверяет точное количество часов для корректных дат.</t>
  </si>
  <si>
    <t>Тест: Вызов calculateDowntimeHours с окончанием раньше начала. Вычесть 0,40 баллов, если тест отсутствует. Вычесть 0,20 баллов, если проверяется только возврат значения без проверки исключения или нуля. Баллы не вычитаются, если тест проверяет возврат 0 или выброс исключения с сообщением.</t>
  </si>
  <si>
    <t>Тест: Передача null или некорректных дат в calculateDowntimeHours. Вычесть 0,40 баллов, если тест отсутствует. Вычесть 0,20 баллов, если проверяется только один вид некорректных данных. Баллы не вычитаются, если тест проверяет обработку null и некорректных значений.</t>
  </si>
  <si>
    <t>Тест: Вызов validateWorkOrder с полностью корректным объектом заявки. Вычесть 0,50 баллов, если тест отсутствует или не проверяет результат. Вычесть 0,25 баллов, если проверяется только отсутствие исключения без проверки isValid. Баллы не вычитаются, если тест подтверждает true или isValid: true без ошибок.</t>
  </si>
  <si>
    <t>Тест: Вызов validateWorkOrder без оборудования или с пустым описанием. Вычесть 0,40 баллов, если тест отсутствует. Вычесть 0,20 баллов, если проверяется только false без проверки списка ошибок. Баллы не вычитаются, если тест проверяет false и наличие соответствующего сообщения об ошибке.</t>
  </si>
  <si>
    <t>Тест: Вызов validateWorkOrder для аварийной заявки без причины. Вычесть 0,40 баллов, если тест отсутствует. Вычесть 0,20 баллов, если проверяется только false без конкретного сообщения. Баллы не вычитаются, если тест проверяет сообщение «Причина обязательна для аварийных заявок».</t>
  </si>
  <si>
    <t>Тест: Вызов validateWorkOrder с датой окончания раньше даты начала или началом в прошлом. Вычесть 0,40 баллов, если тест отсутствует. Вычесть 0,20 баллов, если проверяется только один случай из двух. Баллы не вычитаются, если тест проверяет оба случая и соответствующие сообщения.</t>
  </si>
  <si>
    <t>Тест: Вызов calculateTotalMaterialCost со списком из нескольких материалов (подшипник, ремень, масло). Вычесть 0,50 баллов, если тест отсутствует или не проверяет итоговую сумму. Вычесть 0,25 баллов, если проверяется только один материал. Баллы не вычитаются, если тест подтверждает сумму 7300.00 для приведённых данных.</t>
  </si>
  <si>
    <t>Тест: Вызов calculateTotalMaterialCost с пустым списком. Вычесть 0,30 баллов, если тест отсутствует. Вычесть 0,15 баллов, если проверяется только отсутствие исключения. Баллы не вычитаются, если тест подтверждает возврат 0.</t>
  </si>
  <si>
    <t>Тест: Вызов calculateTotalMaterialCost со списком, где у одного материала количество 0. Вычесть 0,30 баллов, если тест отсутствует. Вычесть 0,15 баллов, если проверяется только итог без учёта нулевого материала. Баллы не вычитаются, если тест подтверждает, что нулевой материал не влияет на сумму.</t>
  </si>
  <si>
    <t>Тест: Вызов calculateTotalMaterialCost с отрицательным количеством или ценой. Вычесть 0,30 баллов, если тест отсутствует. Вычесть 0,15 баллов, если проверяется только отсутствие исключения. Баллы не вычитаются, если тест проверяет выброс исключения или возврат 0.</t>
  </si>
  <si>
    <t>Тесты интегрированы в систему сборки проекта</t>
  </si>
  <si>
    <t>Тест: Запуск тестов через штатную команду сборки/CI без дополнительной настройки. Вычесть 0,40 баллов, если тесты не запускаются через сборку. Вычесть 0,20 баллов, если запуск требует ручной настройки путей или окружения. Баллы не вычитаются, если тесты запускаются одной командой без настройки.</t>
  </si>
  <si>
    <t>Все тесты проходят успешно без ошибок и предупреждений</t>
  </si>
  <si>
    <t>Тест: Запуск полного набора тестов и проверка результата. Вычесть 0,50 баллов, если хотя бы один тест падает или выдаёт предупреждения. Вычесть 0,25 баллов, если тесты проходят, но есть предупреждения компилятора/фреймворка. Баллы не вычитаются, если все тесты проходят без ошибок и предупреждений.</t>
  </si>
  <si>
    <t>Покрытие тестами ключевых ветвей функций</t>
  </si>
  <si>
    <t>Тест: Анализ покрытия ветвей calculateDowntimeHours, validateWorkOrder и calculateTotalMaterialCost. Вычесть 0,40 баллов, если покрыты только успешные сценарии. Вычесть 0,20 баллов, если покрыта часть краевых случаев. Баллы не вычитаются, если покрыты успешные и ошибочные ветви всех трёх функций.</t>
  </si>
  <si>
    <t>Unit-тестирование</t>
  </si>
  <si>
    <t>Проверка: Оценивается содержание документации API: описаны ли группы эндпоинтов (аутентификация, оборудование, заявки, график ТО, материалы, аналитика), методы, пути, назначение каждого эндпоинта, обязательные и опциональные параметры. Вычесть 0,50 баллов, если описание эндпоинтов отсутствует или приведён только перечень путей без пояснений. Вычесть 0,25 баллов, если описана только часть групп эндпоинтов или не указаны параметры. Баллы не вычитаются, если все группы эндпоинтов описаны с методами, путями, назначением и параметрами.</t>
  </si>
  <si>
    <t>Проверка: Оценивается содержание описания структур запросов и ответов: поля, типы данных, обязательность, вложенность, единый формат ответа. Вычесть 0,40 баллов, если структуры запросов и ответов не описаны. Вычесть 0,20 баллов, если описаны только ответы или только запросы, либо отсутствуют типы полей. Баллы не вычитаются, если структуры запросов и ответов описаны с полями, типами и обязательностью.</t>
  </si>
  <si>
    <t>Проверка: Оценивается содержание примеров запросов/ответов и перечня кодов ошибок с пояснением причин. Вычесть 0,40 баллов, если примеры и коды ошибок отсутствуют. Вычесть 0,20 баллов, если приведены только успешные примеры без описания ошибок. Баллы не вычитаются, если для эндпоинтов приведены примеры и описаны коды ошибок с причинами.</t>
  </si>
  <si>
    <t>Проверка: Оценивается содержание раздела о безопасности: схема аутентификации, выпуск и использование токенов, разграничение прав доступа, защита эндпоинтов. Вычесть 0,30 баллов, если раздел о безопасности отсутствует. Вычесть 0,15 баллов, если описание поверхностное и не раскрывает механизм авторизации. Баллы не вычитаются, если описаны схема аутентификации, токены и разграничение прав.</t>
  </si>
  <si>
    <t>Проверка: Оценивается содержание раздела с требованиями к окружению: версии ОС, СУБД, среды выполнения, зависимости, ресурсы. Вычесть 0,40 баллов, если требования к окружению не описаны. Вычесть 0,20 баллов, если указана только часть требований (например, нет версий зависимостей). Баллы не вычитаются, если требования к окружению описаны полно и однозначно.</t>
  </si>
  <si>
    <t>Проверка: Оценивается содержание пошаговой инструкции: подготовка окружения, установка СУБД, создание схемы, настройка API, запуск сервисов, проверка работоспособности. Вычесть 0,50 баллов, если последовательность шагов отсутствует или не позволяет развернуть систему. Вычесть 0,25 баллов, если часть шагов пропущена или описана неоднозначно. Баллы не вычитаются, если инструкция содержит полную и однозначную последовательность шагов.</t>
  </si>
  <si>
    <t>Проверка: Оценивается содержание раздела о конфигурации: параметры подключения к БД, настройки API, переменные окружения, порты, права доступа. Вычесть 0,40 баллов, если описание конфигурации отсутствует. Вычесть 0,20 баллов, если описана только часть параметров без пояснения их назначения. Баллы не вычитаются, если конфигурация описана с пояснением назначения параметров.</t>
  </si>
  <si>
    <t>Проверка: Оценивается содержание раздела о проверке после развёртывания и описании типовых проблем с решениями. Вычесть 0,40 баллов, если раздел проверки и типовых проблем отсутствует. Вычесть 0,20 баллов, если описан только один из разделов. Баллы не вычитаются, если описаны способы проверки работоспособности и типовые проблемы с решениями.</t>
  </si>
  <si>
    <t>Проверка: Оценивается содержание вводного раздела: назначение системы, перечень ролей, их возможности и зоны ответственности. Вычесть 0,40 баллов, если назначение и роли не описаны. Вычесть 0,20 баллов, если роли перечислены без описания возможностей. Баллы не вычитаются, если описаны назначение системы и возможности каждой роли.</t>
  </si>
  <si>
    <t>Проверка: Оценивается содержание сценариев: авторизация, работа с оборудованием, создание и ведение заявок, график ТО, материалы, отчёты. Вычесть 0,50 баллов, если сценарии не описаны. Вычесть 0,25 баллов, если описана только часть сценариев. Баллы не вычитаются, если описаны все ключевые сценарии с порядком действий.</t>
  </si>
  <si>
    <t>Проверка: Оценивается содержание описания интерфейса: навигация, назначение экранов, элементы управления, цветовые индикаторы статусов. Вычесть 0,40 баллов, если описание интерфейса отсутствует. Вычесть 0,20 баллов, если описана только навигация без пояснения элементов. Баллы не вычитаются, если описаны экраны, элементы управления и индикаторы.</t>
  </si>
  <si>
    <t>Проверка: Оценивается содержание раздела о типовых ошибках, ограничениях системы и действиях пользователя. Вычесть 0,40 баллов, если раздел отсутствует. Вычесть 0,20 баллов, если перечислены ошибки без указания действий пользователя. Баллы не вычитаются, если описаны типовые ошибки, ограничения и действия пользователя.</t>
  </si>
  <si>
    <t>Проверка: Оценивается содержание слайда: проблемы предприятия, потери от простоев, отсутствие прозрачности, обоснование актуальности. Вычесть 0,40 баллов, если проблемы и актуальность не раскрыты. Вычесть 0,20 баллов, если описание общее без конкретики и цифр. Баллы не вычитаются, если раскрыты проблемы, потери и актуальность с конкретными данными.</t>
  </si>
  <si>
    <t>Проверка: Оценивается содержание слайда: суть системы, учётно-справочный, операционный и аналитический контуры, категории пользователей. Вычесть 0,50 баллов, если целевое решение не раскрыто. Вычесть 0,25 баллов, если описаны не все контуры или категории пользователей. Баллы не вычитаются, если раскрыты суть системы, все контуры и пользователи.</t>
  </si>
  <si>
    <t>Проверка: Оценивается содержание слайдов: трёхзвенная архитектура, схема взаимодействия, ключевые сущности БД, связи, ограничения целостности и триггеры. Вычесть 0,50 баллов, если архитектура и структура БД не раскрыты. Вычесть 0,25 баллов, если отсутствует описание ограничений или связей. Баллы не вычитаются, если раскрыты архитектура, сущности, связи и ограничения.</t>
  </si>
  <si>
    <t>Проверка: Оценивается содержание слайдов: группы эндпоинтов, формат ответов, безопасность, функциональность и различия клиентов. Вычесть 0,50 баллов, если содержание слайдов не раскрывает API и клиентов. Вычесть 0,25 баллов, если отсутствует описание различий клиентов или безопасности. Баллы не вычитаются, если раскрыты API, безопасность и различия клиентов.</t>
  </si>
  <si>
    <t>Проверка: Оценивается содержание слайдов: подход к тестированию, результаты, перечень документов, план демонстрации, планы развития. Вычесть 0,50 баллов, если содержание слайдов отсутствует. Вычесть 0,25 баллов, если не раскрыты результаты тестирования или план демонстрации. Баллы не вычитаются, если раскрыты тестирование, документы, демонстрация и развитие.</t>
  </si>
  <si>
    <t>Проверка: Оценивается содержание обоснований: выбор технологий, архитектуры, СУБД, клиентов, владение терминологией. Вычесть 0,60 баллов, если решения не аргументированы. Вычесть 0,30 баллов, если аргументация частичная или терминология используется неточно. Баллы не вычитаются, если решения аргументированы, а терминология используется корректно.</t>
  </si>
  <si>
    <t>Проверка: Оценивается содержание ответов: корректность, полнота, понимание предметной области, признание ограничений. Вычесть 0,60 баллов, если ответы отсутствуют или неверны. Вычесть 0,30 баллов, если ответы частичные или уклончивые. Баллы не вычитаются, если ответы полные, корректные и демонстрируют понимание решения.</t>
  </si>
  <si>
    <t>Документирование API</t>
  </si>
  <si>
    <t>Инструкция по развертыванию</t>
  </si>
  <si>
    <t>Руководство пользователя</t>
  </si>
  <si>
    <t>Презентация и выступление</t>
  </si>
  <si>
    <t>Desktop: окно авторизации - поля email и пароля</t>
  </si>
  <si>
    <t>Desktop: окно авторизации - кнопка входа и блокировка при запросе</t>
  </si>
  <si>
    <t>Desktop: окно авторизации - «Запомнить меня»</t>
  </si>
  <si>
    <t>Desktop: окно авторизации - обработка ошибок 401/500 и сети</t>
  </si>
  <si>
    <t>Desktop: экран «Дашборд» - карточки KPI</t>
  </si>
  <si>
    <t>Desktop: экран «Дашборд» - таблица активных заявок</t>
  </si>
  <si>
    <t>Desktop: экран «Дашборд» - блок предстоящих ТО и автообновление</t>
  </si>
  <si>
    <t>Desktop: экран «Оборудование» - таблица, фильтры и поиск</t>
  </si>
  <si>
    <t>Desktop: экран «Оборудование» - добавление и редактирование</t>
  </si>
  <si>
    <t>Desktop: экран «Оборудование» - безопасное удаление</t>
  </si>
  <si>
    <t>Desktop: экран «Оборудование» - карточка с историей заявок и ТО</t>
  </si>
  <si>
    <t>Desktop: экран «График ТО» - календарь и таблица записей</t>
  </si>
  <si>
    <t>Desktop: экран «График ТО» - добавление записи и создание заявки</t>
  </si>
  <si>
    <t>Desktop: экран «График ТО» - цветовая индикация просроченных и ближайших ТО</t>
  </si>
  <si>
    <t>Desktop: экран «Отчёты» - панель параметров и типы отчётов</t>
  </si>
  <si>
    <t>Desktop: экран «Отчёты» - предпросмотр с диаграммами</t>
  </si>
  <si>
    <t>Desktop: экран «Отчёты» - экспорт в PDF и Excel</t>
  </si>
  <si>
    <t>Desktop: экран «Отчёты» - сохранение шаблонов отчётов</t>
  </si>
  <si>
    <t>Desktop: экран «Заявки» - реестр с фильтрацией по цеху, статусу, приоритету и датам</t>
  </si>
  <si>
    <t>Desktop: экран «Заявки» - карточка заявки с таймлайном статусов</t>
  </si>
  <si>
    <t>Desktop: экран «Заявки» - создание заявки с автогенерацией номера</t>
  </si>
  <si>
    <t>Desktop: экран «Заявки» - назначение бригады с контролем занятости</t>
  </si>
  <si>
    <t>Desktop: экран «Заявки» - завершение работ и списание материалов</t>
  </si>
  <si>
    <t>Desktop: экран «Материалы» - реестр, остатки и списание</t>
  </si>
  <si>
    <t>Desktop: экран «Бригады» - состав, загруженность и активные заявки</t>
  </si>
  <si>
    <t>Web: дашборд - шесть карточек KPI с индикацией тренда</t>
  </si>
  <si>
    <t>Web: дашборд - круговые и столбчатые диаграммы с детализацией</t>
  </si>
  <si>
    <t>Web: дашборд - линейный график динамики и топ-5 простоев</t>
  </si>
  <si>
    <t>Web: дашборд - таблица последних заявок и блок нарушений</t>
  </si>
  <si>
    <t>Web: дашборд - автообновление каждые 60 секунд</t>
  </si>
  <si>
    <t>Web: аналитика - панель фильтров с периодом, цехом, типом заявок</t>
  </si>
  <si>
    <t>Web: аналитика - сохранение и сброс шаблонов фильтров</t>
  </si>
  <si>
    <t>Web: аналитика - блок сводки по заявкам</t>
  </si>
  <si>
    <t>Web: аналитика - блок анализа простоев</t>
  </si>
  <si>
    <t>Web: аналитика - блок анализа материалов</t>
  </si>
  <si>
    <t>Web: аналитика - блок выполнения графика ТО</t>
  </si>
  <si>
    <t>Web: аналитика - блок эффективности бригад с рейтингом</t>
  </si>
  <si>
    <t>Web: аналитика - экспорт блоков (PNG, CSV, PDF) и страницы</t>
  </si>
  <si>
    <t>Web: экран «Заявки» - реестр с фильтрами и детальной карточкой</t>
  </si>
  <si>
    <t>Web: экран «Оборудование» - реестр, карточка и история</t>
  </si>
  <si>
    <t>Web: экран «График ТО» - календарь и таблица записей</t>
  </si>
  <si>
    <t>Web: экран «Справочники» - управление НСИ</t>
  </si>
  <si>
    <t>Web: экран «Отчёты» - формирование и экспорт отчётов</t>
  </si>
  <si>
    <t>Web: экран «Пользователи» - управление пользователями и ролями</t>
  </si>
  <si>
    <t>Web: сценарий - анализ простоев за квартал с экспортом</t>
  </si>
  <si>
    <t>Web: сценарий - контроль выполнения графика ТО по цехам</t>
  </si>
  <si>
    <t>Тест №1 - расчёт времени простоя: корректные даты</t>
  </si>
  <si>
    <t>Тест №1 - расчёт времени простоя: дата окончания раньше даты начала</t>
  </si>
  <si>
    <t>Тест №1 - расчёт времени простоя: null и некорректные даты</t>
  </si>
  <si>
    <t>Тест №2 - валидация заявки: все поля корректны</t>
  </si>
  <si>
    <t>Тест №2 - валидация заявки: отсутствие обязательного поля</t>
  </si>
  <si>
    <t>Тест №2 - валидация заявки: аварийная заявка без причины</t>
  </si>
  <si>
    <t>Тест №2 - валидация заявки: некорректные плановые даты</t>
  </si>
  <si>
    <t>Тест №3 - стоимость материалов: несколько материалов</t>
  </si>
  <si>
    <t>Тест №3 - стоимость материалов: пустой список</t>
  </si>
  <si>
    <t>Тест №3 - стоимость материалов: количество равно 0</t>
  </si>
  <si>
    <t>Тест №3 - стоимость материалов: отрицательные значения</t>
  </si>
  <si>
    <t>Документирование API - полнота описания эндпоинтов</t>
  </si>
  <si>
    <t>Документирование API - описание структур запросов и ответов</t>
  </si>
  <si>
    <t>Документирование API - примеры вызовов и коды ошибок</t>
  </si>
  <si>
    <t>Документирование API - описание безопасности и авторизации</t>
  </si>
  <si>
    <t>Инструкция по развертыванию - описание требований к окружению</t>
  </si>
  <si>
    <t>Инструкция по развертыванию - последовательность шагов установки</t>
  </si>
  <si>
    <t>Инструкция по развертыванию - описание конфигурации и параметров</t>
  </si>
  <si>
    <t>Инструкция по развертыванию - проверка работоспособности и типовые проблемы</t>
  </si>
  <si>
    <t>Руководство пользователя - описание назначения и ролей</t>
  </si>
  <si>
    <t>Руководство пользователя - описание сценариев работы</t>
  </si>
  <si>
    <t>Руководство пользователя - описание интерфейса и элементов управления</t>
  </si>
  <si>
    <t>Руководство пользователя - описание обработки ошибок и ограничений</t>
  </si>
  <si>
    <t>Презентация - проблемная область и актуальность</t>
  </si>
  <si>
    <t>Презентация - целевое решение и функциональные контуры</t>
  </si>
  <si>
    <t>Презентация - архитектура и структура базы данных</t>
  </si>
  <si>
    <t>Презентация - API, Desktop и Web-клиенты</t>
  </si>
  <si>
    <t>Презентация - тестирование, документирование и демонстрация</t>
  </si>
  <si>
    <t>Устное выступление - структура, логика и владение материалом</t>
  </si>
  <si>
    <t>Устное выступление - аргументация решений и терминология</t>
  </si>
  <si>
    <t>Ответы на вопросы экспертов - содержание и полнота</t>
  </si>
  <si>
    <t>Проверка: Оценивается содержание выступления: логика изложения, раскрытие темы, владение материалом без опоры на текст. Вычесть 0,40 баллов, если выступление неструктурировано или материал не раскрыт. Вычесть 0,20 баллов, если структура есть, но материал излагается поверхностно. Баллы не вычитаются, если выступление логично, содержательно и демонстрирует владение материалом.</t>
  </si>
  <si>
    <t>Тест: Проверка календаря с отметками ТО, навигации по месяцам и таблицы записей. Вычесть 1,0 балл, если календарь или таблица отсутствуют. Вычесть 0,80 баллов, если календарь есть, но фильтрация по дате не работает. Баллы не вычитаются, если календарь, навигация и фильтрация по дате работают корректно.</t>
  </si>
  <si>
    <t>Тест: Проверка выделения просроченных записей красным и ближайших 3 дней жёлтым. Вычесть 0,60 баллов, если цветовая индикация отсутствует. Вычесть 0,30 баллов, если выделяется только одна категория. Баллы не вычитаются, если обе категории выделяются корректно.</t>
  </si>
  <si>
    <t>Тест: Сохранение параметров отчёта и повторное применение шаблона. Вычесть 0,60 баллов, если сохранение шаблонов отсутствует. Вычесть 0,30 баллов, если шаблон сохраняется, но параметры не подставляются. Баллы не вычитаются, если шаблоны сохраняются и применяются корректно.</t>
  </si>
  <si>
    <t>Тест: Проверка шести карточек (оборудование, активные заявки, выполненные заявки, простои, среднее время, выполнение ТО). Вычесть 1 балл, если карточки отсутствуют или содержат статические данные. Вычесть 0,5 балла, если отображаются не все шесть показателей или нет индикации тренда. Баллы не вычитаются, если все шесть карточек содержат актуальные данные и тренд.</t>
  </si>
  <si>
    <t>Тест: Проверка диаграмм «Распределение оборудования по статусам» и «Заявки по цехам» с переходом по клику. Вычесть 1 балл, если диаграммы отсутствуют. Вычесть 0,5 баллов, если диаграммы есть, но переход по клику не работает. Баллы не вычитаются, если обе диаграммы интерактивны и открывают детализацию.</t>
  </si>
  <si>
    <t>Тест: Проверка графика «Динамика заявок за 30 дней» и диаграммы «Топ-5 оборудования по простоям». Вычесть 0,80 баллов, если графики отсутствуют. Вычесть 0,40 баллов, если реализован только один из двух графиков. Баллы не вычитаются, если оба графика отображаются с подсказками и переходами.</t>
  </si>
  <si>
    <t>Тест: Проверка таблицы 10 последних заявок и блока «Нарушения и просрочки». Вычесть 0,80 баллов, если таблица или блок нарушений отсутствуют. Вычесть 0,40 баллов, если таблица есть, но без цветовой индикации статусов и приоритетов. Баллы не вычитаются, если таблица и блок нарушений отображаются с переходами к объектам.</t>
  </si>
  <si>
    <t>Тест: Проверка таблицы «Плановые vs фактические ТО», календаря и диаграммы по цехам. Вычесть 0,80 баллов, если блок отсутствует. Вычесть 0,40 баллов, если отсутствует календарь или диаграмма по цехам. Баллы не вычитаются, если блок содержит таблицу, календарь с цветовой индикацией и диаграмму.</t>
  </si>
  <si>
    <t>Тест: Экспорт графика в PNG, таблицы в CSV, блока и всей страницы в PDF. Вычесть 0,80 баллов, если экспорт отсутствует. Вычесть 0,40 баллов, если работает только часть форматов. Баллы не вычитаются, если доступны PNG, CSV, PDF и экспорт страницы целиком.</t>
  </si>
  <si>
    <t>Тест: Проверка диаграммы топ-10 материалов и таблицы динамики расхода. Вычесть 0,80 баллов, если блок отсутствует. Вычесть 0,40 баллов, если отсутствует диаграмма или таблица. Баллы не вычитаются, если блок содержит диаграмму и таблицу с переходами к карточке материала.</t>
  </si>
  <si>
    <t>Тест: Проверка таблицы рейтинга бригад и гистограммы сравнения. Вычесть 0,80 баллов, если блок отсутствует. Вычесть 0,40 баллов, если отсутствует рейтинг или гистограмма. Баллы не вычитаются, если блок содержит таблицу с рейтингом, гистограмму и переход к карточке бригады.</t>
  </si>
  <si>
    <t>Тест: Проверка календаря ТО с цветовой индикацией и таблицы записей. Вычесть 0,80 баллов, если календарь или таблица отсутствуют. Вычесть 0,40 баллов, если календарь есть, но фильтрация по дате не работает. Баллы не вычитаются, если календарь и таблица работают с фильтрацией и цветовой индикацией.</t>
  </si>
  <si>
    <t>Работа конкурсанта соответствует Инструкции по охране труда (Сессия 5)</t>
  </si>
  <si>
    <t>Демонстрация работы экспертной группе (Сессия 2)</t>
  </si>
  <si>
    <t>Демонстрация работы экспертной группе (Сессия 3)</t>
  </si>
  <si>
    <t>Демонстрация работы экспертной группе (Сессия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</si>
</sst>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charset val="204"/>
      <scheme val="minor"/>
    </font>
    <font>
      <sz val="12"/>
      <name val="Times New Roman"/>
      <family val="1"/>
      <charset val="204"/>
    </font>
    <font>
      <b/>
      <sz val="12"/>
      <name val="Times New Roman"/>
      <family val="1"/>
      <charset val="204"/>
    </font>
    <font>
      <b/>
      <sz val="12"/>
      <color theme="1"/>
      <name val="Calibri"/>
      <family val="2"/>
      <charset val="204"/>
      <scheme val="minor"/>
    </font>
    <font>
      <sz val="12"/>
      <name val="Garamond"/>
      <family val="1"/>
      <charset val="204"/>
    </font>
    <font>
      <sz val="12"/>
      <color indexed="64"/>
      <name val="Times New Roman"/>
      <family val="1"/>
      <charset val="204"/>
    </font>
    <font>
      <sz val="8"/>
      <name val="Calibri"/>
      <family val="2"/>
      <charset val="204"/>
      <scheme val="minor"/>
    </font>
    <font>
      <sz val="12"/>
      <color theme="1"/>
      <name val="Times New Roman"/>
      <family val="1"/>
      <charset val="204"/>
    </font>
    <font>
      <sz val="15"/>
      <color rgb="FF0F1115"/>
      <name val="Helvetica Neue"/>
      <family val="2"/>
    </font>
    <font>
      <sz val="15"/>
      <color rgb="FF0F1115"/>
      <name val="Helvetica Neue"/>
      <family val="2"/>
    </font>
    <font>
      <i/>
      <sz val="15"/>
      <color rgb="FF0F1115"/>
      <name val="Helvetica Neue"/>
      <family val="2"/>
    </font>
  </fonts>
  <fills count="9">
    <fill>
      <patternFill patternType="none"/>
    </fill>
    <fill>
      <patternFill patternType="gray125"/>
    </fill>
    <fill>
      <patternFill patternType="solid">
        <fgColor theme="8"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rgb="FFDEEBF6"/>
        <bgColor indexed="64"/>
      </patternFill>
    </fill>
    <fill>
      <patternFill patternType="solid">
        <fgColor theme="0"/>
      </patternFill>
    </fill>
    <fill>
      <patternFill patternType="solid">
        <fgColor indexed="65"/>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1">
    <xf numFmtId="0" fontId="0" fillId="0" borderId="0"/>
  </cellStyleXfs>
  <cellXfs count="66">
    <xf numFmtId="0" fontId="0" fillId="0" borderId="0" xfId="0"/>
    <xf numFmtId="0" fontId="1" fillId="0" borderId="0" xfId="0" applyFont="1" applyAlignment="1">
      <alignment horizontal="right"/>
    </xf>
    <xf numFmtId="0" fontId="1" fillId="0" borderId="0" xfId="0" applyFont="1" applyAlignment="1">
      <alignment horizontal="center"/>
    </xf>
    <xf numFmtId="0" fontId="1" fillId="0" borderId="0" xfId="0" quotePrefix="1" applyFont="1" applyAlignment="1">
      <alignment horizontal="left"/>
    </xf>
    <xf numFmtId="0" fontId="1" fillId="0" borderId="0" xfId="0" applyFont="1" applyAlignment="1">
      <alignment wrapText="1"/>
    </xf>
    <xf numFmtId="0" fontId="1" fillId="0" borderId="0" xfId="0" applyFont="1"/>
    <xf numFmtId="0" fontId="2" fillId="0" borderId="0" xfId="0" applyFont="1" applyAlignment="1">
      <alignment horizontal="center" vertical="center" wrapText="1"/>
    </xf>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0" xfId="0" applyFont="1" applyAlignment="1">
      <alignment horizontal="center" vertical="center"/>
    </xf>
    <xf numFmtId="0" fontId="2" fillId="3" borderId="1" xfId="0" applyFont="1" applyFill="1" applyBorder="1" applyAlignment="1">
      <alignment horizontal="center" vertical="center" wrapText="1"/>
    </xf>
    <xf numFmtId="0" fontId="2" fillId="6" borderId="1" xfId="0" applyFont="1" applyFill="1" applyBorder="1" applyAlignment="1">
      <alignment horizontal="center"/>
    </xf>
    <xf numFmtId="0" fontId="2" fillId="0" borderId="0" xfId="0" applyFont="1"/>
    <xf numFmtId="0" fontId="2" fillId="2" borderId="1" xfId="0" applyFont="1" applyFill="1" applyBorder="1" applyAlignment="1">
      <alignment horizontal="center" vertical="top"/>
    </xf>
    <xf numFmtId="0" fontId="1" fillId="0" borderId="0" xfId="0" applyFont="1" applyAlignment="1">
      <alignment horizontal="center" vertical="center" wrapText="1"/>
    </xf>
    <xf numFmtId="2" fontId="2" fillId="6" borderId="1" xfId="0" applyNumberFormat="1" applyFont="1" applyFill="1" applyBorder="1" applyAlignment="1">
      <alignment horizontal="center" vertical="center"/>
    </xf>
    <xf numFmtId="2" fontId="2" fillId="2" borderId="1" xfId="0" applyNumberFormat="1" applyFont="1" applyFill="1" applyBorder="1" applyAlignment="1">
      <alignment horizontal="center" vertical="center"/>
    </xf>
    <xf numFmtId="0" fontId="1" fillId="3" borderId="1" xfId="0" applyFont="1" applyFill="1" applyBorder="1" applyAlignment="1">
      <alignment horizontal="right"/>
    </xf>
    <xf numFmtId="0" fontId="1" fillId="3" borderId="1" xfId="0" applyFont="1" applyFill="1" applyBorder="1"/>
    <xf numFmtId="0" fontId="1" fillId="3" borderId="1" xfId="0" applyFont="1" applyFill="1" applyBorder="1" applyAlignment="1">
      <alignment horizontal="center"/>
    </xf>
    <xf numFmtId="0" fontId="1" fillId="3" borderId="1" xfId="0" applyFont="1" applyFill="1" applyBorder="1" applyAlignment="1">
      <alignment wrapText="1"/>
    </xf>
    <xf numFmtId="2" fontId="2" fillId="3" borderId="1" xfId="0" applyNumberFormat="1" applyFont="1" applyFill="1" applyBorder="1" applyAlignment="1">
      <alignment horizontal="center" vertical="center"/>
    </xf>
    <xf numFmtId="0" fontId="1" fillId="0" borderId="1" xfId="0" applyFont="1" applyBorder="1" applyAlignment="1">
      <alignment horizontal="center" wrapText="1"/>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quotePrefix="1" applyFont="1" applyAlignment="1">
      <alignment vertical="center" wrapText="1"/>
    </xf>
    <xf numFmtId="0" fontId="2" fillId="0" borderId="0" xfId="0" quotePrefix="1" applyFont="1" applyAlignment="1">
      <alignment vertical="center"/>
    </xf>
    <xf numFmtId="0" fontId="1" fillId="0" borderId="1" xfId="0" applyFont="1" applyBorder="1" applyAlignment="1">
      <alignment wrapText="1"/>
    </xf>
    <xf numFmtId="0" fontId="1" fillId="0" borderId="1" xfId="0" applyFont="1" applyBorder="1" applyAlignment="1">
      <alignment horizontal="center"/>
    </xf>
    <xf numFmtId="0" fontId="1" fillId="5" borderId="2" xfId="0" applyFont="1" applyFill="1" applyBorder="1" applyAlignment="1">
      <alignment horizontal="center" vertical="top" wrapText="1"/>
    </xf>
    <xf numFmtId="0" fontId="1" fillId="5" borderId="1" xfId="0" applyFont="1" applyFill="1" applyBorder="1" applyAlignment="1">
      <alignment horizontal="left" vertical="top" wrapText="1"/>
    </xf>
    <xf numFmtId="0" fontId="1" fillId="5" borderId="1" xfId="0" applyFont="1" applyFill="1" applyBorder="1" applyAlignment="1">
      <alignment vertical="top" wrapText="1"/>
    </xf>
    <xf numFmtId="0" fontId="1" fillId="5" borderId="1" xfId="0" applyFont="1" applyFill="1" applyBorder="1" applyAlignment="1">
      <alignment horizontal="center" vertical="center" wrapText="1"/>
    </xf>
    <xf numFmtId="2" fontId="1" fillId="5"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1" xfId="0" applyFont="1" applyFill="1" applyBorder="1" applyAlignment="1">
      <alignment horizontal="center" vertical="top" wrapText="1"/>
    </xf>
    <xf numFmtId="0" fontId="1" fillId="7" borderId="1" xfId="0" applyFont="1" applyFill="1" applyBorder="1" applyAlignment="1">
      <alignment horizontal="center" vertical="center" wrapText="1"/>
    </xf>
    <xf numFmtId="0" fontId="1" fillId="7" borderId="1" xfId="0" applyFont="1" applyFill="1" applyBorder="1" applyAlignment="1">
      <alignment horizontal="left" vertical="center" wrapText="1"/>
    </xf>
    <xf numFmtId="0" fontId="1" fillId="5" borderId="1" xfId="0" applyFont="1" applyFill="1" applyBorder="1" applyAlignment="1">
      <alignment vertical="center" wrapText="1"/>
    </xf>
    <xf numFmtId="0" fontId="1" fillId="8" borderId="1" xfId="0" applyFont="1" applyFill="1" applyBorder="1" applyAlignment="1">
      <alignment wrapText="1"/>
    </xf>
    <xf numFmtId="0" fontId="1" fillId="5" borderId="1" xfId="0" applyFont="1" applyFill="1" applyBorder="1" applyAlignment="1">
      <alignment wrapText="1"/>
    </xf>
    <xf numFmtId="0" fontId="1" fillId="5" borderId="1" xfId="0" applyFont="1" applyFill="1" applyBorder="1" applyAlignment="1">
      <alignment horizontal="center" wrapText="1"/>
    </xf>
    <xf numFmtId="0" fontId="1" fillId="5" borderId="3" xfId="0" applyFont="1" applyFill="1" applyBorder="1" applyAlignment="1">
      <alignment horizontal="center" vertical="center" wrapText="1"/>
    </xf>
    <xf numFmtId="0" fontId="1" fillId="0" borderId="1" xfId="0" applyFont="1" applyBorder="1" applyAlignment="1">
      <alignment horizontal="center" vertical="top" wrapText="1"/>
    </xf>
    <xf numFmtId="0" fontId="0" fillId="0" borderId="1" xfId="0" applyBorder="1" applyAlignment="1">
      <alignment vertical="center" wrapText="1"/>
    </xf>
    <xf numFmtId="2" fontId="1" fillId="0" borderId="4" xfId="0" applyNumberFormat="1" applyFont="1" applyBorder="1" applyAlignment="1">
      <alignment horizontal="center" vertical="center"/>
    </xf>
    <xf numFmtId="0" fontId="3" fillId="0" borderId="1" xfId="0" applyFont="1" applyBorder="1" applyAlignment="1">
      <alignment horizontal="center" vertical="center" wrapText="1"/>
    </xf>
    <xf numFmtId="2" fontId="7" fillId="0" borderId="1" xfId="0" applyNumberFormat="1" applyFont="1" applyBorder="1" applyAlignment="1">
      <alignment horizontal="center" vertical="center" wrapText="1"/>
    </xf>
    <xf numFmtId="0" fontId="5" fillId="5" borderId="1" xfId="0" applyFont="1" applyFill="1" applyBorder="1" applyAlignment="1">
      <alignment horizontal="center" vertical="top" wrapText="1"/>
    </xf>
    <xf numFmtId="0" fontId="1" fillId="0" borderId="1" xfId="0" applyFont="1" applyBorder="1" applyAlignment="1">
      <alignment horizontal="right"/>
    </xf>
    <xf numFmtId="0" fontId="5" fillId="5" borderId="1" xfId="0" applyFont="1" applyFill="1" applyBorder="1" applyAlignment="1">
      <alignment wrapText="1"/>
    </xf>
    <xf numFmtId="0" fontId="4" fillId="5" borderId="1" xfId="0" applyFont="1" applyFill="1" applyBorder="1" applyAlignment="1">
      <alignment wrapText="1"/>
    </xf>
    <xf numFmtId="0" fontId="9" fillId="0" borderId="0" xfId="0" applyFont="1"/>
    <xf numFmtId="0" fontId="9" fillId="0" borderId="1" xfId="0" applyFont="1" applyBorder="1"/>
    <xf numFmtId="0" fontId="2" fillId="0" borderId="1" xfId="0" applyFont="1" applyBorder="1" applyAlignment="1">
      <alignment horizontal="center" vertical="top"/>
    </xf>
    <xf numFmtId="0" fontId="2" fillId="0" borderId="1" xfId="0" applyFont="1" applyBorder="1" applyAlignment="1">
      <alignment horizontal="left" vertical="top"/>
    </xf>
    <xf numFmtId="2" fontId="2" fillId="0" borderId="1" xfId="0" applyNumberFormat="1" applyFont="1" applyBorder="1" applyAlignment="1">
      <alignment horizontal="center" vertical="center"/>
    </xf>
    <xf numFmtId="0" fontId="5" fillId="5" borderId="1" xfId="0" applyFont="1" applyFill="1" applyBorder="1" applyAlignment="1">
      <alignment horizontal="left" vertical="top" wrapText="1"/>
    </xf>
    <xf numFmtId="0" fontId="1" fillId="0" borderId="1" xfId="0" applyFont="1" applyBorder="1"/>
    <xf numFmtId="0" fontId="8" fillId="0" borderId="1" xfId="0" applyFont="1" applyBorder="1"/>
    <xf numFmtId="0" fontId="1" fillId="0" borderId="1" xfId="0" applyFont="1" applyBorder="1" applyAlignment="1">
      <alignment horizontal="center" vertical="center"/>
    </xf>
    <xf numFmtId="0" fontId="2" fillId="6" borderId="1" xfId="0" applyFont="1" applyFill="1" applyBorder="1" applyAlignment="1">
      <alignment horizontal="left"/>
    </xf>
    <xf numFmtId="0" fontId="2" fillId="6" borderId="1" xfId="0" applyFont="1" applyFill="1" applyBorder="1" applyAlignment="1">
      <alignment horizontal="left" vertical="top"/>
    </xf>
    <xf numFmtId="0" fontId="2" fillId="2" borderId="1" xfId="0" applyFont="1" applyFill="1" applyBorder="1" applyAlignment="1">
      <alignment horizontal="left" vertical="top"/>
    </xf>
    <xf numFmtId="0" fontId="2" fillId="4"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colors>
    <mruColors>
      <color rgb="FFDEEB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31"/>
  <sheetViews>
    <sheetView tabSelected="1" topLeftCell="A105" zoomScaleNormal="100" workbookViewId="0">
      <selection activeCell="J68" sqref="J68"/>
    </sheetView>
  </sheetViews>
  <sheetFormatPr defaultColWidth="11" defaultRowHeight="15.75"/>
  <cols>
    <col min="1" max="1" width="6.875" style="1" customWidth="1"/>
    <col min="2" max="2" width="31" style="5" customWidth="1"/>
    <col min="3" max="3" width="8.375" style="2" customWidth="1"/>
    <col min="4" max="4" width="37" style="4" customWidth="1"/>
    <col min="5" max="5" width="12.125" style="2" customWidth="1"/>
    <col min="6" max="6" width="42.625" style="4" customWidth="1"/>
    <col min="7" max="7" width="20.625" style="4" bestFit="1" customWidth="1"/>
    <col min="8" max="8" width="7.125" style="15" bestFit="1" customWidth="1"/>
    <col min="9" max="9" width="8.375" style="10" customWidth="1"/>
    <col min="10" max="16384" width="11" style="5"/>
  </cols>
  <sheetData>
    <row r="2" spans="1:9" ht="52.5" customHeight="1">
      <c r="B2" s="24" t="s">
        <v>12</v>
      </c>
      <c r="C2" s="25"/>
      <c r="D2" s="26" t="s">
        <v>94</v>
      </c>
      <c r="E2" s="3"/>
    </row>
    <row r="3" spans="1:9" ht="32.25" customHeight="1">
      <c r="B3" s="24" t="s">
        <v>14</v>
      </c>
      <c r="C3" s="25"/>
      <c r="D3" s="27" t="s">
        <v>20</v>
      </c>
      <c r="E3" s="3"/>
    </row>
    <row r="5" spans="1:9" s="6" customFormat="1" ht="51.75" customHeight="1">
      <c r="A5" s="11" t="s">
        <v>2</v>
      </c>
      <c r="B5" s="11" t="s">
        <v>19</v>
      </c>
      <c r="C5" s="11" t="s">
        <v>3</v>
      </c>
      <c r="D5" s="11" t="s">
        <v>5</v>
      </c>
      <c r="E5" s="11" t="s">
        <v>8</v>
      </c>
      <c r="F5" s="11" t="s">
        <v>4</v>
      </c>
      <c r="G5" s="11" t="s">
        <v>13</v>
      </c>
      <c r="H5" s="11" t="s">
        <v>16</v>
      </c>
      <c r="I5" s="11" t="s">
        <v>9</v>
      </c>
    </row>
    <row r="6" spans="1:9" s="13" customFormat="1">
      <c r="A6" s="12" t="s">
        <v>1</v>
      </c>
      <c r="B6" s="62" t="s">
        <v>21</v>
      </c>
      <c r="C6" s="62"/>
      <c r="D6" s="62"/>
      <c r="E6" s="62"/>
      <c r="F6" s="62"/>
      <c r="G6" s="62"/>
      <c r="H6" s="62"/>
      <c r="I6" s="16">
        <f>SUM(I7:I43)</f>
        <v>21</v>
      </c>
    </row>
    <row r="7" spans="1:9" ht="31.5">
      <c r="A7" s="30">
        <v>1</v>
      </c>
      <c r="B7" s="31" t="s">
        <v>22</v>
      </c>
      <c r="C7" s="32"/>
      <c r="D7" s="31"/>
      <c r="E7" s="32"/>
      <c r="F7" s="32"/>
      <c r="G7" s="31"/>
      <c r="H7" s="33"/>
      <c r="I7" s="34"/>
    </row>
    <row r="8" spans="1:9" ht="63">
      <c r="A8" s="30"/>
      <c r="B8" s="31"/>
      <c r="C8" s="33" t="s">
        <v>6</v>
      </c>
      <c r="D8" s="35" t="s">
        <v>23</v>
      </c>
      <c r="E8" s="36"/>
      <c r="F8" s="31" t="s">
        <v>24</v>
      </c>
      <c r="G8" s="31"/>
      <c r="H8" s="33">
        <v>2</v>
      </c>
      <c r="I8" s="34">
        <v>0.5</v>
      </c>
    </row>
    <row r="9" spans="1:9" ht="63">
      <c r="A9" s="30"/>
      <c r="B9" s="31"/>
      <c r="C9" s="33" t="s">
        <v>6</v>
      </c>
      <c r="D9" s="35" t="s">
        <v>25</v>
      </c>
      <c r="E9" s="36"/>
      <c r="F9" s="31" t="s">
        <v>26</v>
      </c>
      <c r="G9" s="31"/>
      <c r="H9" s="33">
        <v>2</v>
      </c>
      <c r="I9" s="34">
        <v>2</v>
      </c>
    </row>
    <row r="10" spans="1:9" ht="31.5">
      <c r="A10" s="30"/>
      <c r="B10" s="31"/>
      <c r="C10" s="33" t="s">
        <v>6</v>
      </c>
      <c r="D10" s="35" t="s">
        <v>44</v>
      </c>
      <c r="E10" s="36"/>
      <c r="F10" s="31" t="s">
        <v>45</v>
      </c>
      <c r="G10" s="31"/>
      <c r="H10" s="33">
        <v>2</v>
      </c>
      <c r="I10" s="34">
        <v>0.25</v>
      </c>
    </row>
    <row r="11" spans="1:9" ht="47.25">
      <c r="A11" s="30"/>
      <c r="B11" s="31"/>
      <c r="C11" s="33" t="s">
        <v>6</v>
      </c>
      <c r="D11" s="35" t="s">
        <v>27</v>
      </c>
      <c r="E11" s="36"/>
      <c r="F11" s="31" t="s">
        <v>28</v>
      </c>
      <c r="G11" s="31"/>
      <c r="H11" s="33">
        <v>2</v>
      </c>
      <c r="I11" s="34">
        <v>0.75</v>
      </c>
    </row>
    <row r="12" spans="1:9" ht="63">
      <c r="A12" s="30"/>
      <c r="B12" s="31"/>
      <c r="C12" s="33" t="s">
        <v>6</v>
      </c>
      <c r="D12" s="35" t="s">
        <v>29</v>
      </c>
      <c r="E12" s="36"/>
      <c r="F12" s="31" t="s">
        <v>30</v>
      </c>
      <c r="G12" s="31"/>
      <c r="H12" s="33">
        <v>2</v>
      </c>
      <c r="I12" s="34">
        <v>0.65</v>
      </c>
    </row>
    <row r="13" spans="1:9" ht="63">
      <c r="A13" s="30"/>
      <c r="B13" s="31"/>
      <c r="C13" s="33" t="s">
        <v>6</v>
      </c>
      <c r="D13" s="35" t="s">
        <v>31</v>
      </c>
      <c r="E13" s="36"/>
      <c r="F13" s="31" t="s">
        <v>32</v>
      </c>
      <c r="G13" s="31"/>
      <c r="H13" s="33">
        <v>2</v>
      </c>
      <c r="I13" s="34">
        <v>0.25</v>
      </c>
    </row>
    <row r="14" spans="1:9">
      <c r="A14" s="30">
        <v>2</v>
      </c>
      <c r="B14" s="31" t="s">
        <v>42</v>
      </c>
      <c r="C14" s="36"/>
      <c r="D14" s="31"/>
      <c r="E14" s="36"/>
      <c r="F14" s="31"/>
      <c r="G14" s="31"/>
      <c r="H14" s="33"/>
      <c r="I14" s="34"/>
    </row>
    <row r="15" spans="1:9" ht="47.25">
      <c r="A15" s="30"/>
      <c r="B15" s="31"/>
      <c r="C15" s="37" t="s">
        <v>6</v>
      </c>
      <c r="D15" s="38" t="s">
        <v>33</v>
      </c>
      <c r="E15" s="36"/>
      <c r="F15" s="31" t="s">
        <v>34</v>
      </c>
      <c r="G15" s="31"/>
      <c r="H15" s="33">
        <v>2</v>
      </c>
      <c r="I15" s="34">
        <v>0.5</v>
      </c>
    </row>
    <row r="16" spans="1:9">
      <c r="A16" s="30"/>
      <c r="B16" s="31"/>
      <c r="C16" s="37" t="s">
        <v>6</v>
      </c>
      <c r="D16" s="38" t="s">
        <v>35</v>
      </c>
      <c r="E16" s="36"/>
      <c r="F16" s="31"/>
      <c r="G16" s="31"/>
      <c r="H16" s="33">
        <v>2</v>
      </c>
      <c r="I16" s="34">
        <v>0.1</v>
      </c>
    </row>
    <row r="17" spans="1:9" ht="47.25">
      <c r="A17" s="30"/>
      <c r="B17" s="31"/>
      <c r="C17" s="33" t="s">
        <v>6</v>
      </c>
      <c r="D17" s="35" t="s">
        <v>36</v>
      </c>
      <c r="E17" s="36"/>
      <c r="F17" s="31" t="s">
        <v>37</v>
      </c>
      <c r="G17" s="31"/>
      <c r="H17" s="33">
        <v>2</v>
      </c>
      <c r="I17" s="34">
        <v>1.5</v>
      </c>
    </row>
    <row r="18" spans="1:9" ht="47.25">
      <c r="A18" s="30"/>
      <c r="B18" s="31"/>
      <c r="C18" s="33" t="s">
        <v>6</v>
      </c>
      <c r="D18" s="35" t="s">
        <v>38</v>
      </c>
      <c r="E18" s="36"/>
      <c r="F18" s="31" t="s">
        <v>39</v>
      </c>
      <c r="G18" s="31"/>
      <c r="H18" s="33">
        <v>2</v>
      </c>
      <c r="I18" s="34">
        <v>0.75</v>
      </c>
    </row>
    <row r="19" spans="1:9" ht="47.25">
      <c r="A19" s="30"/>
      <c r="B19" s="31"/>
      <c r="C19" s="33" t="s">
        <v>6</v>
      </c>
      <c r="D19" s="39" t="s">
        <v>40</v>
      </c>
      <c r="E19" s="36"/>
      <c r="F19" s="31" t="s">
        <v>41</v>
      </c>
      <c r="G19" s="31"/>
      <c r="H19" s="33">
        <v>2</v>
      </c>
      <c r="I19" s="34">
        <v>0.75</v>
      </c>
    </row>
    <row r="20" spans="1:9" ht="63">
      <c r="A20" s="30"/>
      <c r="B20" s="31"/>
      <c r="C20" s="33" t="s">
        <v>6</v>
      </c>
      <c r="D20" s="35" t="s">
        <v>31</v>
      </c>
      <c r="E20" s="36"/>
      <c r="F20" s="31" t="s">
        <v>32</v>
      </c>
      <c r="G20" s="31"/>
      <c r="H20" s="33">
        <v>2</v>
      </c>
      <c r="I20" s="34">
        <v>0.25</v>
      </c>
    </row>
    <row r="21" spans="1:9">
      <c r="A21" s="30">
        <v>3</v>
      </c>
      <c r="B21" s="31" t="s">
        <v>43</v>
      </c>
      <c r="C21" s="33"/>
      <c r="D21" s="35"/>
      <c r="E21" s="36"/>
      <c r="F21" s="31"/>
      <c r="G21" s="30"/>
      <c r="H21" s="31"/>
      <c r="I21" s="33"/>
    </row>
    <row r="22" spans="1:9" ht="31.5">
      <c r="A22" s="30"/>
      <c r="B22" s="31"/>
      <c r="C22" s="33" t="s">
        <v>6</v>
      </c>
      <c r="D22" s="35" t="s">
        <v>46</v>
      </c>
      <c r="E22" s="29"/>
      <c r="F22" s="36" t="s">
        <v>47</v>
      </c>
      <c r="G22" s="28"/>
      <c r="H22" s="36">
        <v>2</v>
      </c>
      <c r="I22" s="34">
        <v>1</v>
      </c>
    </row>
    <row r="23" spans="1:9" ht="31.5">
      <c r="A23" s="30"/>
      <c r="B23" s="31"/>
      <c r="C23" s="33" t="s">
        <v>6</v>
      </c>
      <c r="D23" s="35" t="s">
        <v>48</v>
      </c>
      <c r="E23" s="29"/>
      <c r="F23" s="36" t="s">
        <v>49</v>
      </c>
      <c r="G23" s="28"/>
      <c r="H23" s="36">
        <v>2</v>
      </c>
      <c r="I23" s="34">
        <v>0.75</v>
      </c>
    </row>
    <row r="24" spans="1:9" ht="31.5">
      <c r="A24" s="30"/>
      <c r="B24" s="31"/>
      <c r="C24" s="33" t="s">
        <v>6</v>
      </c>
      <c r="D24" s="35" t="s">
        <v>50</v>
      </c>
      <c r="E24" s="29"/>
      <c r="F24" s="36" t="s">
        <v>51</v>
      </c>
      <c r="G24" s="28"/>
      <c r="H24" s="36">
        <v>5</v>
      </c>
      <c r="I24" s="34">
        <v>1</v>
      </c>
    </row>
    <row r="25" spans="1:9">
      <c r="A25" s="30"/>
      <c r="B25" s="31"/>
      <c r="C25" s="33" t="s">
        <v>6</v>
      </c>
      <c r="D25" s="35" t="s">
        <v>52</v>
      </c>
      <c r="E25" s="29"/>
      <c r="F25" s="36" t="s">
        <v>53</v>
      </c>
      <c r="G25" s="28"/>
      <c r="H25" s="36">
        <v>2</v>
      </c>
      <c r="I25" s="34">
        <v>0.5</v>
      </c>
    </row>
    <row r="26" spans="1:9" ht="31.5">
      <c r="A26" s="30"/>
      <c r="B26" s="31"/>
      <c r="C26" s="33" t="s">
        <v>6</v>
      </c>
      <c r="D26" s="35" t="s">
        <v>54</v>
      </c>
      <c r="E26" s="29"/>
      <c r="F26" s="36" t="s">
        <v>55</v>
      </c>
      <c r="G26" s="28"/>
      <c r="H26" s="36">
        <v>2</v>
      </c>
      <c r="I26" s="34">
        <v>0.5</v>
      </c>
    </row>
    <row r="27" spans="1:9">
      <c r="A27" s="30"/>
      <c r="B27" s="31"/>
      <c r="C27" s="33" t="s">
        <v>6</v>
      </c>
      <c r="D27" s="35" t="s">
        <v>56</v>
      </c>
      <c r="E27" s="29"/>
      <c r="F27" s="36" t="s">
        <v>57</v>
      </c>
      <c r="G27" s="28"/>
      <c r="H27" s="36">
        <v>2</v>
      </c>
      <c r="I27" s="34">
        <v>0.25</v>
      </c>
    </row>
    <row r="28" spans="1:9" ht="31.5">
      <c r="A28" s="30">
        <v>4</v>
      </c>
      <c r="B28" s="41" t="s">
        <v>95</v>
      </c>
      <c r="C28" s="41"/>
      <c r="D28" s="41"/>
      <c r="E28" s="41"/>
      <c r="F28" s="41"/>
      <c r="G28" s="41"/>
      <c r="H28" s="33"/>
      <c r="I28" s="34"/>
    </row>
    <row r="29" spans="1:9" ht="31.5">
      <c r="A29" s="30"/>
      <c r="B29" s="41"/>
      <c r="C29" s="33" t="s">
        <v>6</v>
      </c>
      <c r="D29" s="39" t="s">
        <v>65</v>
      </c>
      <c r="E29" s="41"/>
      <c r="F29" s="41" t="s">
        <v>66</v>
      </c>
      <c r="G29" s="41"/>
      <c r="H29" s="33">
        <v>3</v>
      </c>
      <c r="I29" s="34">
        <v>1.5</v>
      </c>
    </row>
    <row r="30" spans="1:9" ht="47.25">
      <c r="A30" s="30"/>
      <c r="B30" s="41"/>
      <c r="C30" s="33" t="s">
        <v>6</v>
      </c>
      <c r="D30" s="39" t="s">
        <v>67</v>
      </c>
      <c r="E30" s="41"/>
      <c r="F30" s="41" t="s">
        <v>68</v>
      </c>
      <c r="G30" s="41"/>
      <c r="H30" s="33">
        <v>2</v>
      </c>
      <c r="I30" s="34">
        <v>2</v>
      </c>
    </row>
    <row r="31" spans="1:9" ht="31.5">
      <c r="A31" s="30"/>
      <c r="B31" s="41"/>
      <c r="C31" s="33" t="s">
        <v>6</v>
      </c>
      <c r="D31" s="39" t="s">
        <v>69</v>
      </c>
      <c r="E31" s="41"/>
      <c r="F31" s="41"/>
      <c r="G31" s="41"/>
      <c r="H31" s="33">
        <v>3</v>
      </c>
      <c r="I31" s="34">
        <v>0.1</v>
      </c>
    </row>
    <row r="32" spans="1:9" ht="63">
      <c r="A32" s="30"/>
      <c r="B32" s="41"/>
      <c r="C32" s="33" t="s">
        <v>6</v>
      </c>
      <c r="D32" s="39" t="s">
        <v>70</v>
      </c>
      <c r="E32" s="41"/>
      <c r="F32" s="41" t="s">
        <v>68</v>
      </c>
      <c r="G32" s="41"/>
      <c r="H32" s="33">
        <v>2</v>
      </c>
      <c r="I32" s="34">
        <v>1.75</v>
      </c>
    </row>
    <row r="33" spans="1:9" ht="47.25">
      <c r="A33" s="30"/>
      <c r="B33" s="41"/>
      <c r="C33" s="33" t="s">
        <v>6</v>
      </c>
      <c r="D33" s="39" t="s">
        <v>71</v>
      </c>
      <c r="E33" s="41"/>
      <c r="F33" s="41"/>
      <c r="G33" s="41"/>
      <c r="H33" s="33">
        <v>3</v>
      </c>
      <c r="I33" s="34">
        <v>0.2</v>
      </c>
    </row>
    <row r="34" spans="1:9" ht="47.25">
      <c r="A34" s="30"/>
      <c r="B34" s="41"/>
      <c r="C34" s="33" t="s">
        <v>6</v>
      </c>
      <c r="D34" s="39" t="s">
        <v>72</v>
      </c>
      <c r="E34" s="41"/>
      <c r="F34" s="41"/>
      <c r="G34" s="41"/>
      <c r="H34" s="33">
        <v>3</v>
      </c>
      <c r="I34" s="34">
        <v>0.4</v>
      </c>
    </row>
    <row r="35" spans="1:9" ht="47.25">
      <c r="A35" s="35"/>
      <c r="B35" s="41"/>
      <c r="C35" s="33" t="s">
        <v>6</v>
      </c>
      <c r="D35" s="39" t="s">
        <v>73</v>
      </c>
      <c r="E35" s="41"/>
      <c r="F35" s="41"/>
      <c r="G35" s="41"/>
      <c r="H35" s="33">
        <v>3</v>
      </c>
      <c r="I35" s="34">
        <v>1</v>
      </c>
    </row>
    <row r="36" spans="1:9" ht="31.5">
      <c r="A36" s="35"/>
      <c r="B36" s="41"/>
      <c r="C36" s="33" t="s">
        <v>6</v>
      </c>
      <c r="D36" s="39" t="s">
        <v>74</v>
      </c>
      <c r="E36" s="41"/>
      <c r="F36" s="41" t="s">
        <v>66</v>
      </c>
      <c r="G36" s="41"/>
      <c r="H36" s="33">
        <v>3</v>
      </c>
      <c r="I36" s="34">
        <v>0.8</v>
      </c>
    </row>
    <row r="37" spans="1:9" ht="31.5">
      <c r="A37" s="35"/>
      <c r="B37" s="41"/>
      <c r="C37" s="33" t="s">
        <v>7</v>
      </c>
      <c r="D37" s="39" t="s">
        <v>75</v>
      </c>
      <c r="E37" s="41"/>
      <c r="F37" s="41"/>
      <c r="G37" s="41"/>
      <c r="H37" s="33">
        <v>3</v>
      </c>
      <c r="I37" s="34">
        <v>0.5</v>
      </c>
    </row>
    <row r="38" spans="1:9" ht="47.25">
      <c r="A38" s="35"/>
      <c r="B38" s="41"/>
      <c r="C38" s="39"/>
      <c r="D38" s="39"/>
      <c r="E38" s="42">
        <v>0</v>
      </c>
      <c r="F38" s="41" t="s">
        <v>76</v>
      </c>
      <c r="G38" s="41"/>
      <c r="H38" s="33"/>
      <c r="I38" s="34"/>
    </row>
    <row r="39" spans="1:9" ht="31.5">
      <c r="A39" s="35"/>
      <c r="B39" s="41"/>
      <c r="C39" s="39"/>
      <c r="D39" s="39"/>
      <c r="E39" s="42">
        <v>1</v>
      </c>
      <c r="F39" s="41" t="s">
        <v>77</v>
      </c>
      <c r="G39" s="41"/>
      <c r="H39" s="33"/>
      <c r="I39" s="34"/>
    </row>
    <row r="40" spans="1:9" ht="47.25">
      <c r="A40" s="35"/>
      <c r="B40" s="41"/>
      <c r="C40" s="39"/>
      <c r="D40" s="39"/>
      <c r="E40" s="42">
        <v>2</v>
      </c>
      <c r="F40" s="41" t="s">
        <v>78</v>
      </c>
      <c r="G40" s="41"/>
      <c r="H40" s="33"/>
      <c r="I40" s="34"/>
    </row>
    <row r="41" spans="1:9" ht="47.25">
      <c r="A41" s="35"/>
      <c r="B41" s="41"/>
      <c r="C41" s="39"/>
      <c r="D41" s="39"/>
      <c r="E41" s="42">
        <v>3</v>
      </c>
      <c r="F41" s="41" t="s">
        <v>79</v>
      </c>
      <c r="G41" s="41"/>
      <c r="H41" s="33"/>
      <c r="I41" s="34"/>
    </row>
    <row r="42" spans="1:9" ht="63">
      <c r="A42" s="35"/>
      <c r="B42" s="41"/>
      <c r="C42" s="33" t="s">
        <v>6</v>
      </c>
      <c r="D42" s="39" t="s">
        <v>80</v>
      </c>
      <c r="E42" s="41"/>
      <c r="F42" s="41" t="s">
        <v>81</v>
      </c>
      <c r="G42" s="41"/>
      <c r="H42" s="33">
        <v>3</v>
      </c>
      <c r="I42" s="34">
        <v>0.5</v>
      </c>
    </row>
    <row r="43" spans="1:9">
      <c r="A43" s="30"/>
      <c r="B43" s="31"/>
      <c r="C43" s="33"/>
      <c r="D43" s="35"/>
      <c r="E43" s="36"/>
      <c r="F43" s="31"/>
      <c r="G43" s="31"/>
      <c r="H43" s="33"/>
      <c r="I43" s="34"/>
    </row>
    <row r="44" spans="1:9" s="13" customFormat="1">
      <c r="A44" s="14" t="s">
        <v>10</v>
      </c>
      <c r="B44" s="63" t="s">
        <v>0</v>
      </c>
      <c r="C44" s="63"/>
      <c r="D44" s="63"/>
      <c r="E44" s="63"/>
      <c r="F44" s="63"/>
      <c r="G44" s="63"/>
      <c r="H44" s="63"/>
      <c r="I44" s="17">
        <f>SUM(I46:I170)</f>
        <v>51.999999999999964</v>
      </c>
    </row>
    <row r="45" spans="1:9" s="13" customFormat="1">
      <c r="A45" s="35">
        <v>1</v>
      </c>
      <c r="B45" s="31" t="s">
        <v>82</v>
      </c>
      <c r="C45" s="36"/>
      <c r="D45" s="52"/>
      <c r="E45" s="35"/>
      <c r="F45" s="31"/>
      <c r="G45" s="36"/>
      <c r="H45" s="52"/>
      <c r="I45" s="35"/>
    </row>
    <row r="46" spans="1:9" s="13" customFormat="1" ht="141.75">
      <c r="A46" s="35"/>
      <c r="B46" s="31"/>
      <c r="C46" s="33" t="s">
        <v>6</v>
      </c>
      <c r="D46" s="39" t="s">
        <v>96</v>
      </c>
      <c r="E46" s="54"/>
      <c r="F46" s="41" t="s">
        <v>97</v>
      </c>
      <c r="G46" s="36"/>
      <c r="H46" s="33">
        <v>4</v>
      </c>
      <c r="I46" s="34">
        <v>0.2</v>
      </c>
    </row>
    <row r="47" spans="1:9" s="13" customFormat="1" ht="94.5">
      <c r="A47" s="35"/>
      <c r="B47" s="31"/>
      <c r="C47" s="33" t="s">
        <v>6</v>
      </c>
      <c r="D47" s="39" t="s">
        <v>98</v>
      </c>
      <c r="E47" s="54"/>
      <c r="F47" s="41" t="s">
        <v>99</v>
      </c>
      <c r="G47" s="36"/>
      <c r="H47" s="33">
        <v>4</v>
      </c>
      <c r="I47" s="34">
        <v>0.2</v>
      </c>
    </row>
    <row r="48" spans="1:9" s="13" customFormat="1" ht="94.5">
      <c r="A48" s="35"/>
      <c r="B48" s="31"/>
      <c r="C48" s="33" t="s">
        <v>6</v>
      </c>
      <c r="D48" s="39" t="s">
        <v>100</v>
      </c>
      <c r="E48" s="54"/>
      <c r="F48" s="41" t="s">
        <v>101</v>
      </c>
      <c r="G48" s="36"/>
      <c r="H48" s="33">
        <v>4</v>
      </c>
      <c r="I48" s="34">
        <v>0.2</v>
      </c>
    </row>
    <row r="49" spans="1:9" s="13" customFormat="1" ht="94.5">
      <c r="A49" s="35"/>
      <c r="B49" s="31"/>
      <c r="C49" s="33" t="s">
        <v>6</v>
      </c>
      <c r="D49" s="39" t="s">
        <v>102</v>
      </c>
      <c r="E49" s="54"/>
      <c r="F49" s="41" t="s">
        <v>103</v>
      </c>
      <c r="G49" s="36"/>
      <c r="H49" s="33">
        <v>4</v>
      </c>
      <c r="I49" s="34">
        <v>0.2</v>
      </c>
    </row>
    <row r="50" spans="1:9" s="13" customFormat="1" ht="110.25">
      <c r="A50" s="35"/>
      <c r="B50" s="31"/>
      <c r="C50" s="33" t="s">
        <v>6</v>
      </c>
      <c r="D50" s="39" t="s">
        <v>104</v>
      </c>
      <c r="E50" s="54"/>
      <c r="F50" s="41" t="s">
        <v>105</v>
      </c>
      <c r="G50" s="36"/>
      <c r="H50" s="33">
        <v>4</v>
      </c>
      <c r="I50" s="34">
        <v>0.2</v>
      </c>
    </row>
    <row r="51" spans="1:9" s="13" customFormat="1" ht="107.1" customHeight="1">
      <c r="A51" s="35"/>
      <c r="B51" s="31"/>
      <c r="C51" s="33" t="s">
        <v>6</v>
      </c>
      <c r="D51" s="39" t="s">
        <v>106</v>
      </c>
      <c r="E51" s="54"/>
      <c r="F51" s="41" t="s">
        <v>107</v>
      </c>
      <c r="G51" s="36"/>
      <c r="H51" s="33">
        <v>4</v>
      </c>
      <c r="I51" s="34">
        <v>0.2</v>
      </c>
    </row>
    <row r="52" spans="1:9" s="13" customFormat="1" ht="110.25">
      <c r="A52" s="35"/>
      <c r="B52" s="31"/>
      <c r="C52" s="33" t="s">
        <v>6</v>
      </c>
      <c r="D52" s="39" t="s">
        <v>108</v>
      </c>
      <c r="E52" s="54"/>
      <c r="F52" s="41" t="s">
        <v>109</v>
      </c>
      <c r="G52" s="36"/>
      <c r="H52" s="33">
        <v>4</v>
      </c>
      <c r="I52" s="34">
        <v>0.2</v>
      </c>
    </row>
    <row r="53" spans="1:9" s="13" customFormat="1" ht="94.5">
      <c r="A53" s="35"/>
      <c r="B53" s="31"/>
      <c r="C53" s="33" t="s">
        <v>6</v>
      </c>
      <c r="D53" s="39" t="s">
        <v>110</v>
      </c>
      <c r="E53" s="54"/>
      <c r="F53" s="41" t="s">
        <v>111</v>
      </c>
      <c r="G53" s="36"/>
      <c r="H53" s="33">
        <v>4</v>
      </c>
      <c r="I53" s="34">
        <v>0.2</v>
      </c>
    </row>
    <row r="54" spans="1:9" s="13" customFormat="1" ht="126">
      <c r="A54" s="35"/>
      <c r="B54" s="31"/>
      <c r="C54" s="33" t="s">
        <v>6</v>
      </c>
      <c r="D54" s="39" t="s">
        <v>112</v>
      </c>
      <c r="E54" s="54"/>
      <c r="F54" s="41" t="s">
        <v>113</v>
      </c>
      <c r="G54" s="36"/>
      <c r="H54" s="33">
        <v>4</v>
      </c>
      <c r="I54" s="34">
        <v>0.2</v>
      </c>
    </row>
    <row r="55" spans="1:9" s="13" customFormat="1" ht="126">
      <c r="A55" s="35"/>
      <c r="B55" s="31"/>
      <c r="C55" s="33" t="s">
        <v>6</v>
      </c>
      <c r="D55" s="39" t="s">
        <v>114</v>
      </c>
      <c r="E55" s="54"/>
      <c r="F55" s="41" t="s">
        <v>115</v>
      </c>
      <c r="G55" s="36"/>
      <c r="H55" s="33">
        <v>4</v>
      </c>
      <c r="I55" s="34">
        <v>0.2</v>
      </c>
    </row>
    <row r="56" spans="1:9" s="13" customFormat="1" ht="110.25">
      <c r="A56" s="35"/>
      <c r="B56" s="31"/>
      <c r="C56" s="33" t="s">
        <v>6</v>
      </c>
      <c r="D56" s="39" t="s">
        <v>116</v>
      </c>
      <c r="E56" s="54"/>
      <c r="F56" s="41" t="s">
        <v>117</v>
      </c>
      <c r="G56" s="36"/>
      <c r="H56" s="33">
        <v>4</v>
      </c>
      <c r="I56" s="34">
        <v>0.2</v>
      </c>
    </row>
    <row r="57" spans="1:9" s="13" customFormat="1" ht="157.5">
      <c r="A57" s="35"/>
      <c r="B57" s="31"/>
      <c r="C57" s="33" t="s">
        <v>6</v>
      </c>
      <c r="D57" s="39" t="s">
        <v>118</v>
      </c>
      <c r="E57" s="54"/>
      <c r="F57" s="41" t="s">
        <v>119</v>
      </c>
      <c r="G57" s="36"/>
      <c r="H57" s="33">
        <v>4</v>
      </c>
      <c r="I57" s="34">
        <v>0.2</v>
      </c>
    </row>
    <row r="58" spans="1:9" s="13" customFormat="1" ht="141.75">
      <c r="A58" s="35"/>
      <c r="B58" s="31"/>
      <c r="C58" s="33" t="s">
        <v>6</v>
      </c>
      <c r="D58" s="39" t="s">
        <v>120</v>
      </c>
      <c r="E58" s="54"/>
      <c r="F58" s="41" t="s">
        <v>121</v>
      </c>
      <c r="G58" s="36"/>
      <c r="H58" s="33">
        <v>4</v>
      </c>
      <c r="I58" s="34">
        <v>0.2</v>
      </c>
    </row>
    <row r="59" spans="1:9" s="13" customFormat="1" ht="220.5">
      <c r="A59" s="35"/>
      <c r="B59" s="31"/>
      <c r="C59" s="33" t="s">
        <v>6</v>
      </c>
      <c r="D59" s="39" t="s">
        <v>122</v>
      </c>
      <c r="E59" s="54"/>
      <c r="F59" s="41" t="s">
        <v>123</v>
      </c>
      <c r="G59" s="36"/>
      <c r="H59" s="33">
        <v>4</v>
      </c>
      <c r="I59" s="34">
        <v>0.5</v>
      </c>
    </row>
    <row r="60" spans="1:9" s="13" customFormat="1" ht="189">
      <c r="A60" s="35"/>
      <c r="B60" s="31"/>
      <c r="C60" s="33" t="s">
        <v>6</v>
      </c>
      <c r="D60" s="39" t="s">
        <v>124</v>
      </c>
      <c r="E60" s="54"/>
      <c r="F60" s="41" t="s">
        <v>125</v>
      </c>
      <c r="G60" s="36"/>
      <c r="H60" s="33">
        <v>4</v>
      </c>
      <c r="I60" s="34">
        <v>0.5</v>
      </c>
    </row>
    <row r="61" spans="1:9" s="13" customFormat="1" ht="204.75">
      <c r="A61" s="35"/>
      <c r="B61" s="31"/>
      <c r="C61" s="33" t="s">
        <v>6</v>
      </c>
      <c r="D61" s="39" t="s">
        <v>126</v>
      </c>
      <c r="E61" s="54"/>
      <c r="F61" s="41" t="s">
        <v>127</v>
      </c>
      <c r="G61" s="36"/>
      <c r="H61" s="33">
        <v>4</v>
      </c>
      <c r="I61" s="34">
        <v>0.5</v>
      </c>
    </row>
    <row r="62" spans="1:9" s="13" customFormat="1" ht="220.5">
      <c r="A62" s="35"/>
      <c r="B62" s="31"/>
      <c r="C62" s="33" t="s">
        <v>6</v>
      </c>
      <c r="D62" s="39" t="s">
        <v>128</v>
      </c>
      <c r="E62" s="54"/>
      <c r="F62" s="41" t="s">
        <v>129</v>
      </c>
      <c r="G62" s="36"/>
      <c r="H62" s="33">
        <v>4</v>
      </c>
      <c r="I62" s="34">
        <v>0.5</v>
      </c>
    </row>
    <row r="63" spans="1:9" s="13" customFormat="1" ht="220.5">
      <c r="A63" s="35"/>
      <c r="B63" s="31"/>
      <c r="C63" s="33" t="s">
        <v>6</v>
      </c>
      <c r="D63" s="39" t="s">
        <v>130</v>
      </c>
      <c r="E63" s="54"/>
      <c r="F63" s="41" t="s">
        <v>131</v>
      </c>
      <c r="G63" s="36"/>
      <c r="H63" s="33">
        <v>4</v>
      </c>
      <c r="I63" s="34">
        <v>0.5</v>
      </c>
    </row>
    <row r="64" spans="1:9" s="13" customFormat="1">
      <c r="A64" s="35">
        <v>2</v>
      </c>
      <c r="B64" s="31" t="s">
        <v>93</v>
      </c>
      <c r="C64" s="36"/>
      <c r="D64" s="39"/>
      <c r="E64" s="35"/>
      <c r="F64" s="31"/>
      <c r="G64" s="36"/>
      <c r="H64" s="33"/>
      <c r="I64" s="35"/>
    </row>
    <row r="65" spans="1:9" s="13" customFormat="1" ht="189">
      <c r="A65" s="35"/>
      <c r="B65" s="31"/>
      <c r="C65" s="33" t="s">
        <v>6</v>
      </c>
      <c r="D65" s="39" t="s">
        <v>132</v>
      </c>
      <c r="E65" s="39"/>
      <c r="F65" s="39" t="s">
        <v>133</v>
      </c>
      <c r="G65" s="36"/>
      <c r="H65" s="33">
        <v>4</v>
      </c>
      <c r="I65" s="34">
        <v>0.5</v>
      </c>
    </row>
    <row r="66" spans="1:9" s="13" customFormat="1" ht="189">
      <c r="A66" s="35"/>
      <c r="B66" s="31"/>
      <c r="C66" s="33" t="s">
        <v>6</v>
      </c>
      <c r="D66" s="39" t="s">
        <v>134</v>
      </c>
      <c r="E66" s="39"/>
      <c r="F66" s="39" t="s">
        <v>135</v>
      </c>
      <c r="G66" s="36"/>
      <c r="H66" s="33">
        <v>4</v>
      </c>
      <c r="I66" s="34">
        <v>0.4</v>
      </c>
    </row>
    <row r="67" spans="1:9" s="13" customFormat="1" ht="173.25">
      <c r="A67" s="35"/>
      <c r="B67" s="31"/>
      <c r="C67" s="33" t="s">
        <v>6</v>
      </c>
      <c r="D67" s="39" t="s">
        <v>136</v>
      </c>
      <c r="E67" s="39"/>
      <c r="F67" s="39" t="s">
        <v>137</v>
      </c>
      <c r="G67" s="36"/>
      <c r="H67" s="33">
        <v>4</v>
      </c>
      <c r="I67" s="34">
        <v>0.5</v>
      </c>
    </row>
    <row r="68" spans="1:9" s="13" customFormat="1" ht="173.25">
      <c r="A68" s="35"/>
      <c r="B68" s="31"/>
      <c r="C68" s="33" t="s">
        <v>6</v>
      </c>
      <c r="D68" s="39" t="s">
        <v>138</v>
      </c>
      <c r="E68" s="39"/>
      <c r="F68" s="39" t="s">
        <v>139</v>
      </c>
      <c r="G68" s="36"/>
      <c r="H68" s="33">
        <v>4</v>
      </c>
      <c r="I68" s="34">
        <v>0.5</v>
      </c>
    </row>
    <row r="69" spans="1:9" s="13" customFormat="1" ht="141.75">
      <c r="A69" s="35"/>
      <c r="B69" s="31"/>
      <c r="C69" s="33" t="s">
        <v>6</v>
      </c>
      <c r="D69" s="39" t="s">
        <v>140</v>
      </c>
      <c r="E69" s="39"/>
      <c r="F69" s="39" t="s">
        <v>141</v>
      </c>
      <c r="G69" s="36"/>
      <c r="H69" s="33">
        <v>4</v>
      </c>
      <c r="I69" s="34">
        <v>0.5</v>
      </c>
    </row>
    <row r="70" spans="1:9" s="13" customFormat="1" ht="157.5">
      <c r="A70" s="35"/>
      <c r="B70" s="31"/>
      <c r="C70" s="33" t="s">
        <v>6</v>
      </c>
      <c r="D70" s="39" t="s">
        <v>142</v>
      </c>
      <c r="E70" s="39"/>
      <c r="F70" s="39" t="s">
        <v>143</v>
      </c>
      <c r="G70" s="36"/>
      <c r="H70" s="33">
        <v>4</v>
      </c>
      <c r="I70" s="34">
        <v>0.4</v>
      </c>
    </row>
    <row r="71" spans="1:9" s="13" customFormat="1" ht="189">
      <c r="A71" s="35"/>
      <c r="B71" s="31"/>
      <c r="C71" s="33" t="s">
        <v>6</v>
      </c>
      <c r="D71" s="39" t="s">
        <v>144</v>
      </c>
      <c r="E71" s="39"/>
      <c r="F71" s="39" t="s">
        <v>145</v>
      </c>
      <c r="G71" s="36"/>
      <c r="H71" s="33">
        <v>4</v>
      </c>
      <c r="I71" s="34">
        <v>0.4</v>
      </c>
    </row>
    <row r="72" spans="1:9" s="13" customFormat="1" ht="189">
      <c r="A72" s="35"/>
      <c r="B72" s="31"/>
      <c r="C72" s="33" t="s">
        <v>6</v>
      </c>
      <c r="D72" s="39" t="s">
        <v>146</v>
      </c>
      <c r="E72" s="39"/>
      <c r="F72" s="39" t="s">
        <v>147</v>
      </c>
      <c r="G72" s="36"/>
      <c r="H72" s="33">
        <v>4</v>
      </c>
      <c r="I72" s="34">
        <v>0.4</v>
      </c>
    </row>
    <row r="73" spans="1:9" s="13" customFormat="1" ht="173.25">
      <c r="A73" s="35"/>
      <c r="B73" s="31"/>
      <c r="C73" s="33" t="s">
        <v>6</v>
      </c>
      <c r="D73" s="39" t="s">
        <v>148</v>
      </c>
      <c r="E73" s="39"/>
      <c r="F73" s="39" t="s">
        <v>149</v>
      </c>
      <c r="G73" s="36"/>
      <c r="H73" s="33">
        <v>4</v>
      </c>
      <c r="I73" s="34">
        <v>0.5</v>
      </c>
    </row>
    <row r="74" spans="1:9" s="13" customFormat="1" ht="157.5">
      <c r="A74" s="35"/>
      <c r="B74" s="31"/>
      <c r="C74" s="33" t="s">
        <v>6</v>
      </c>
      <c r="D74" s="39" t="s">
        <v>150</v>
      </c>
      <c r="E74" s="39"/>
      <c r="F74" s="39" t="s">
        <v>151</v>
      </c>
      <c r="G74" s="36"/>
      <c r="H74" s="33">
        <v>4</v>
      </c>
      <c r="I74" s="34">
        <v>0.4</v>
      </c>
    </row>
    <row r="75" spans="1:9" s="13" customFormat="1" ht="157.5">
      <c r="A75" s="35"/>
      <c r="B75" s="31"/>
      <c r="C75" s="33" t="s">
        <v>6</v>
      </c>
      <c r="D75" s="39" t="s">
        <v>152</v>
      </c>
      <c r="E75" s="39"/>
      <c r="F75" s="39" t="s">
        <v>153</v>
      </c>
      <c r="G75" s="36"/>
      <c r="H75" s="33">
        <v>4</v>
      </c>
      <c r="I75" s="34">
        <v>0.5</v>
      </c>
    </row>
    <row r="76" spans="1:9" s="13" customFormat="1" ht="189">
      <c r="A76" s="35"/>
      <c r="B76" s="31"/>
      <c r="C76" s="33" t="s">
        <v>6</v>
      </c>
      <c r="D76" s="39" t="s">
        <v>154</v>
      </c>
      <c r="E76" s="39"/>
      <c r="F76" s="39" t="s">
        <v>155</v>
      </c>
      <c r="G76" s="36"/>
      <c r="H76" s="33">
        <v>4</v>
      </c>
      <c r="I76" s="34">
        <v>0.5</v>
      </c>
    </row>
    <row r="77" spans="1:9" s="13" customFormat="1" ht="189">
      <c r="A77" s="35"/>
      <c r="B77" s="31"/>
      <c r="C77" s="33" t="s">
        <v>6</v>
      </c>
      <c r="D77" s="39" t="s">
        <v>156</v>
      </c>
      <c r="E77" s="39"/>
      <c r="F77" s="39" t="s">
        <v>157</v>
      </c>
      <c r="G77" s="36"/>
      <c r="H77" s="33">
        <v>4</v>
      </c>
      <c r="I77" s="34">
        <v>0.4</v>
      </c>
    </row>
    <row r="78" spans="1:9" ht="189">
      <c r="A78" s="35">
        <v>5</v>
      </c>
      <c r="B78" s="31"/>
      <c r="C78" s="33" t="s">
        <v>6</v>
      </c>
      <c r="D78" s="39" t="s">
        <v>158</v>
      </c>
      <c r="E78" s="39"/>
      <c r="F78" s="39" t="s">
        <v>159</v>
      </c>
      <c r="G78" s="41"/>
      <c r="H78" s="33">
        <v>4</v>
      </c>
      <c r="I78" s="34">
        <v>0.5</v>
      </c>
    </row>
    <row r="79" spans="1:9" ht="157.5">
      <c r="A79" s="35"/>
      <c r="B79" s="31"/>
      <c r="C79" s="33" t="s">
        <v>6</v>
      </c>
      <c r="D79" s="39" t="s">
        <v>160</v>
      </c>
      <c r="E79" s="39"/>
      <c r="F79" s="39" t="s">
        <v>161</v>
      </c>
      <c r="G79" s="41"/>
      <c r="H79" s="33">
        <v>4</v>
      </c>
      <c r="I79" s="34">
        <v>0.4</v>
      </c>
    </row>
    <row r="80" spans="1:9" ht="157.5">
      <c r="A80" s="35"/>
      <c r="B80" s="31"/>
      <c r="C80" s="33" t="s">
        <v>6</v>
      </c>
      <c r="D80" s="39" t="s">
        <v>162</v>
      </c>
      <c r="E80" s="39"/>
      <c r="F80" s="39" t="s">
        <v>163</v>
      </c>
      <c r="G80" s="41"/>
      <c r="H80" s="33">
        <v>4</v>
      </c>
      <c r="I80" s="34">
        <v>0.5</v>
      </c>
    </row>
    <row r="81" spans="1:9" ht="141.75">
      <c r="A81" s="35"/>
      <c r="B81" s="58"/>
      <c r="C81" s="33" t="s">
        <v>6</v>
      </c>
      <c r="D81" s="39" t="s">
        <v>164</v>
      </c>
      <c r="E81" s="39"/>
      <c r="F81" s="39" t="s">
        <v>165</v>
      </c>
      <c r="G81" s="51"/>
      <c r="H81" s="33">
        <v>4</v>
      </c>
      <c r="I81" s="34">
        <v>0.4</v>
      </c>
    </row>
    <row r="82" spans="1:9" ht="157.5">
      <c r="A82" s="35"/>
      <c r="B82" s="35"/>
      <c r="C82" s="33" t="s">
        <v>6</v>
      </c>
      <c r="D82" s="39" t="s">
        <v>166</v>
      </c>
      <c r="E82" s="39"/>
      <c r="F82" s="39" t="s">
        <v>167</v>
      </c>
      <c r="G82" s="28"/>
      <c r="H82" s="33">
        <v>4</v>
      </c>
      <c r="I82" s="34">
        <v>0.5</v>
      </c>
    </row>
    <row r="83" spans="1:9" ht="173.25">
      <c r="A83" s="35"/>
      <c r="B83" s="35"/>
      <c r="C83" s="33" t="s">
        <v>6</v>
      </c>
      <c r="D83" s="39" t="s">
        <v>168</v>
      </c>
      <c r="E83" s="39"/>
      <c r="F83" s="39" t="s">
        <v>169</v>
      </c>
      <c r="G83" s="28"/>
      <c r="H83" s="33">
        <v>4</v>
      </c>
      <c r="I83" s="34">
        <v>0.5</v>
      </c>
    </row>
    <row r="84" spans="1:9" ht="173.25">
      <c r="A84" s="35"/>
      <c r="B84" s="35"/>
      <c r="C84" s="33" t="s">
        <v>6</v>
      </c>
      <c r="D84" s="39" t="s">
        <v>170</v>
      </c>
      <c r="E84" s="39"/>
      <c r="F84" s="39" t="s">
        <v>171</v>
      </c>
      <c r="G84" s="28"/>
      <c r="H84" s="33">
        <v>4</v>
      </c>
      <c r="I84" s="34">
        <v>0.4</v>
      </c>
    </row>
    <row r="85" spans="1:9">
      <c r="A85" s="35">
        <v>3</v>
      </c>
      <c r="B85" s="35" t="s">
        <v>282</v>
      </c>
      <c r="C85" s="36"/>
      <c r="D85" s="39"/>
      <c r="E85" s="29"/>
      <c r="F85" s="35"/>
      <c r="G85" s="28"/>
      <c r="H85" s="33"/>
      <c r="I85" s="34"/>
    </row>
    <row r="86" spans="1:9" ht="186.95" customHeight="1">
      <c r="A86" s="36"/>
      <c r="B86" s="59"/>
      <c r="C86" s="33" t="s">
        <v>6</v>
      </c>
      <c r="D86" s="39" t="s">
        <v>172</v>
      </c>
      <c r="E86" s="39"/>
      <c r="F86" s="39" t="s">
        <v>173</v>
      </c>
      <c r="G86" s="59"/>
      <c r="H86" s="33">
        <v>5</v>
      </c>
      <c r="I86" s="34">
        <v>0.5</v>
      </c>
    </row>
    <row r="87" spans="1:9" ht="126">
      <c r="A87" s="36"/>
      <c r="B87" s="59"/>
      <c r="C87" s="33" t="s">
        <v>6</v>
      </c>
      <c r="D87" s="39" t="s">
        <v>174</v>
      </c>
      <c r="E87" s="39"/>
      <c r="F87" s="39" t="s">
        <v>175</v>
      </c>
      <c r="G87" s="59"/>
      <c r="H87" s="33">
        <v>5</v>
      </c>
      <c r="I87" s="34">
        <v>0.5</v>
      </c>
    </row>
    <row r="88" spans="1:9" ht="157.5">
      <c r="A88" s="36"/>
      <c r="B88" s="59"/>
      <c r="C88" s="33" t="s">
        <v>6</v>
      </c>
      <c r="D88" s="39" t="s">
        <v>176</v>
      </c>
      <c r="E88" s="39"/>
      <c r="F88" s="39" t="s">
        <v>177</v>
      </c>
      <c r="G88" s="59"/>
      <c r="H88" s="33">
        <v>5</v>
      </c>
      <c r="I88" s="34">
        <v>0.3</v>
      </c>
    </row>
    <row r="89" spans="1:9" ht="157.5">
      <c r="A89" s="36"/>
      <c r="B89" s="59"/>
      <c r="C89" s="33" t="s">
        <v>6</v>
      </c>
      <c r="D89" s="39" t="s">
        <v>178</v>
      </c>
      <c r="E89" s="39"/>
      <c r="F89" s="39" t="s">
        <v>179</v>
      </c>
      <c r="G89" s="59"/>
      <c r="H89" s="33">
        <v>5</v>
      </c>
      <c r="I89" s="34">
        <v>0.3</v>
      </c>
    </row>
    <row r="90" spans="1:9" ht="126">
      <c r="A90" s="36"/>
      <c r="B90" s="59"/>
      <c r="C90" s="33" t="s">
        <v>6</v>
      </c>
      <c r="D90" s="39" t="s">
        <v>180</v>
      </c>
      <c r="E90" s="39"/>
      <c r="F90" s="39" t="s">
        <v>181</v>
      </c>
      <c r="G90" s="59"/>
      <c r="H90" s="33">
        <v>5</v>
      </c>
      <c r="I90" s="34">
        <v>0.2</v>
      </c>
    </row>
    <row r="91" spans="1:9" ht="110.25">
      <c r="A91" s="36"/>
      <c r="B91" s="59"/>
      <c r="C91" s="33" t="s">
        <v>6</v>
      </c>
      <c r="D91" s="39" t="s">
        <v>182</v>
      </c>
      <c r="E91" s="39"/>
      <c r="F91" s="39" t="s">
        <v>183</v>
      </c>
      <c r="G91" s="59"/>
      <c r="H91" s="33">
        <v>5</v>
      </c>
      <c r="I91" s="34">
        <v>0.2</v>
      </c>
    </row>
    <row r="92" spans="1:9" ht="110.25">
      <c r="A92" s="36"/>
      <c r="B92" s="59"/>
      <c r="C92" s="33" t="s">
        <v>6</v>
      </c>
      <c r="D92" s="39" t="s">
        <v>184</v>
      </c>
      <c r="E92" s="39"/>
      <c r="F92" s="39" t="s">
        <v>185</v>
      </c>
      <c r="G92" s="59"/>
      <c r="H92" s="33">
        <v>5</v>
      </c>
      <c r="I92" s="34">
        <v>0.3</v>
      </c>
    </row>
    <row r="93" spans="1:9" ht="126">
      <c r="A93" s="49"/>
      <c r="B93" s="59"/>
      <c r="C93" s="33" t="s">
        <v>6</v>
      </c>
      <c r="D93" s="39" t="s">
        <v>186</v>
      </c>
      <c r="E93" s="39"/>
      <c r="F93" s="39" t="s">
        <v>187</v>
      </c>
      <c r="G93" s="59"/>
      <c r="H93" s="33">
        <v>5</v>
      </c>
      <c r="I93" s="34">
        <v>0.2</v>
      </c>
    </row>
    <row r="94" spans="1:9" ht="126">
      <c r="A94" s="33"/>
      <c r="B94" s="39"/>
      <c r="C94" s="33" t="s">
        <v>6</v>
      </c>
      <c r="D94" s="39" t="s">
        <v>188</v>
      </c>
      <c r="E94" s="39"/>
      <c r="F94" s="39" t="s">
        <v>189</v>
      </c>
      <c r="G94" s="39"/>
      <c r="H94" s="33">
        <v>5</v>
      </c>
      <c r="I94" s="34">
        <v>0.3</v>
      </c>
    </row>
    <row r="95" spans="1:9" ht="110.25">
      <c r="A95" s="32"/>
      <c r="B95" s="32"/>
      <c r="C95" s="33" t="s">
        <v>6</v>
      </c>
      <c r="D95" s="39" t="s">
        <v>190</v>
      </c>
      <c r="E95" s="39"/>
      <c r="F95" s="39" t="s">
        <v>191</v>
      </c>
      <c r="G95" s="32"/>
      <c r="H95" s="33">
        <v>5</v>
      </c>
      <c r="I95" s="34">
        <v>0.3</v>
      </c>
    </row>
    <row r="96" spans="1:9" ht="126">
      <c r="A96" s="32"/>
      <c r="B96" s="32"/>
      <c r="C96" s="33" t="s">
        <v>6</v>
      </c>
      <c r="D96" s="39" t="s">
        <v>192</v>
      </c>
      <c r="E96" s="39"/>
      <c r="F96" s="39" t="s">
        <v>193</v>
      </c>
      <c r="G96" s="32"/>
      <c r="H96" s="33">
        <v>5</v>
      </c>
      <c r="I96" s="34">
        <v>0.3</v>
      </c>
    </row>
    <row r="97" spans="1:9" ht="126">
      <c r="A97" s="32"/>
      <c r="B97" s="32"/>
      <c r="C97" s="33" t="s">
        <v>6</v>
      </c>
      <c r="D97" s="39" t="s">
        <v>194</v>
      </c>
      <c r="E97" s="39"/>
      <c r="F97" s="39" t="s">
        <v>195</v>
      </c>
      <c r="G97" s="32"/>
      <c r="H97" s="33">
        <v>5</v>
      </c>
      <c r="I97" s="34">
        <v>0.3</v>
      </c>
    </row>
    <row r="98" spans="1:9" ht="126">
      <c r="A98" s="32"/>
      <c r="B98" s="32"/>
      <c r="C98" s="33" t="s">
        <v>6</v>
      </c>
      <c r="D98" s="39" t="s">
        <v>196</v>
      </c>
      <c r="E98" s="39"/>
      <c r="F98" s="39" t="s">
        <v>197</v>
      </c>
      <c r="G98" s="32"/>
      <c r="H98" s="33">
        <v>5</v>
      </c>
      <c r="I98" s="34">
        <v>0.4</v>
      </c>
    </row>
    <row r="99" spans="1:9" ht="110.25">
      <c r="A99" s="39"/>
      <c r="B99" s="39"/>
      <c r="C99" s="33" t="s">
        <v>6</v>
      </c>
      <c r="D99" s="39" t="s">
        <v>198</v>
      </c>
      <c r="E99" s="39"/>
      <c r="F99" s="39" t="s">
        <v>199</v>
      </c>
      <c r="G99" s="39"/>
      <c r="H99" s="33">
        <v>5</v>
      </c>
      <c r="I99" s="34">
        <v>0.2</v>
      </c>
    </row>
    <row r="100" spans="1:9" ht="126">
      <c r="A100" s="52"/>
      <c r="B100" s="52"/>
      <c r="C100" s="33" t="s">
        <v>6</v>
      </c>
      <c r="D100" s="39" t="s">
        <v>200</v>
      </c>
      <c r="E100" s="39"/>
      <c r="F100" s="39" t="s">
        <v>201</v>
      </c>
      <c r="G100" s="52"/>
      <c r="H100" s="33">
        <v>4</v>
      </c>
      <c r="I100" s="34">
        <v>0.4</v>
      </c>
    </row>
    <row r="101" spans="1:9" ht="110.25">
      <c r="A101" s="32"/>
      <c r="B101" s="32"/>
      <c r="C101" s="33" t="s">
        <v>6</v>
      </c>
      <c r="D101" s="39" t="s">
        <v>202</v>
      </c>
      <c r="E101" s="39"/>
      <c r="F101" s="39" t="s">
        <v>203</v>
      </c>
      <c r="G101" s="32"/>
      <c r="H101" s="33">
        <v>4</v>
      </c>
      <c r="I101" s="34">
        <v>0.3</v>
      </c>
    </row>
    <row r="102" spans="1:9" ht="141.75">
      <c r="A102" s="36"/>
      <c r="B102" s="32"/>
      <c r="C102" s="33" t="s">
        <v>6</v>
      </c>
      <c r="D102" s="39" t="s">
        <v>337</v>
      </c>
      <c r="E102" s="39"/>
      <c r="F102" s="39" t="s">
        <v>204</v>
      </c>
      <c r="G102" s="47"/>
      <c r="H102" s="33">
        <v>4</v>
      </c>
      <c r="I102" s="34">
        <v>0.3</v>
      </c>
    </row>
    <row r="103" spans="1:9" ht="126">
      <c r="A103" s="50"/>
      <c r="B103" s="59"/>
      <c r="C103" s="33" t="s">
        <v>6</v>
      </c>
      <c r="D103" s="39" t="s">
        <v>338</v>
      </c>
      <c r="E103" s="39"/>
      <c r="F103" s="39" t="s">
        <v>205</v>
      </c>
      <c r="G103" s="28"/>
      <c r="H103" s="33">
        <v>4</v>
      </c>
      <c r="I103" s="34">
        <v>0.3</v>
      </c>
    </row>
    <row r="104" spans="1:9" ht="110.25">
      <c r="A104" s="49"/>
      <c r="B104" s="32"/>
      <c r="C104" s="33" t="s">
        <v>6</v>
      </c>
      <c r="D104" s="39" t="s">
        <v>339</v>
      </c>
      <c r="E104" s="39"/>
      <c r="F104" s="39" t="s">
        <v>206</v>
      </c>
      <c r="G104" s="28"/>
      <c r="H104" s="33">
        <v>4</v>
      </c>
      <c r="I104" s="34">
        <v>0.2</v>
      </c>
    </row>
    <row r="105" spans="1:9" ht="110.25">
      <c r="A105" s="39"/>
      <c r="B105" s="39"/>
      <c r="C105" s="33" t="s">
        <v>6</v>
      </c>
      <c r="D105" s="39" t="s">
        <v>340</v>
      </c>
      <c r="E105" s="39"/>
      <c r="F105" s="39" t="s">
        <v>207</v>
      </c>
      <c r="G105" s="28"/>
      <c r="H105" s="33">
        <v>4</v>
      </c>
      <c r="I105" s="34">
        <v>0.3</v>
      </c>
    </row>
    <row r="106" spans="1:9" ht="157.5">
      <c r="A106" s="36"/>
      <c r="B106" s="32"/>
      <c r="C106" s="33" t="s">
        <v>6</v>
      </c>
      <c r="D106" s="39" t="s">
        <v>341</v>
      </c>
      <c r="E106" s="39"/>
      <c r="F106" s="39" t="s">
        <v>208</v>
      </c>
      <c r="G106" s="28"/>
      <c r="H106" s="33">
        <v>4</v>
      </c>
      <c r="I106" s="34">
        <v>0.8</v>
      </c>
    </row>
    <row r="107" spans="1:9" ht="110.25">
      <c r="A107" s="49"/>
      <c r="B107" s="32"/>
      <c r="C107" s="33" t="s">
        <v>6</v>
      </c>
      <c r="D107" s="39" t="s">
        <v>342</v>
      </c>
      <c r="E107" s="39"/>
      <c r="F107" s="39" t="s">
        <v>209</v>
      </c>
      <c r="G107" s="28"/>
      <c r="H107" s="33">
        <v>4</v>
      </c>
      <c r="I107" s="34">
        <v>0.6</v>
      </c>
    </row>
    <row r="108" spans="1:9" ht="141.75">
      <c r="A108" s="39"/>
      <c r="B108" s="39"/>
      <c r="C108" s="33" t="s">
        <v>6</v>
      </c>
      <c r="D108" s="39" t="s">
        <v>343</v>
      </c>
      <c r="E108" s="39"/>
      <c r="F108" s="39" t="s">
        <v>210</v>
      </c>
      <c r="G108" s="28"/>
      <c r="H108" s="33">
        <v>4</v>
      </c>
      <c r="I108" s="34">
        <v>0.5</v>
      </c>
    </row>
    <row r="109" spans="1:9" ht="141.75">
      <c r="A109" s="36"/>
      <c r="B109" s="32"/>
      <c r="C109" s="33" t="s">
        <v>6</v>
      </c>
      <c r="D109" s="39" t="s">
        <v>344</v>
      </c>
      <c r="E109" s="39"/>
      <c r="F109" s="39" t="s">
        <v>211</v>
      </c>
      <c r="G109" s="28"/>
      <c r="H109" s="33">
        <v>4</v>
      </c>
      <c r="I109" s="34">
        <v>0.5</v>
      </c>
    </row>
    <row r="110" spans="1:9" ht="141.75">
      <c r="A110" s="36"/>
      <c r="B110" s="32"/>
      <c r="C110" s="33" t="s">
        <v>6</v>
      </c>
      <c r="D110" s="39" t="s">
        <v>345</v>
      </c>
      <c r="E110" s="39"/>
      <c r="F110" s="39" t="s">
        <v>212</v>
      </c>
      <c r="G110" s="28"/>
      <c r="H110" s="33">
        <v>4</v>
      </c>
      <c r="I110" s="34">
        <v>0.4</v>
      </c>
    </row>
    <row r="111" spans="1:9" ht="126">
      <c r="A111" s="36"/>
      <c r="B111" s="32"/>
      <c r="C111" s="33" t="s">
        <v>6</v>
      </c>
      <c r="D111" s="39" t="s">
        <v>346</v>
      </c>
      <c r="E111" s="39"/>
      <c r="F111" s="39" t="s">
        <v>213</v>
      </c>
      <c r="G111" s="28"/>
      <c r="H111" s="33">
        <v>4</v>
      </c>
      <c r="I111" s="34">
        <v>0.3</v>
      </c>
    </row>
    <row r="112" spans="1:9" ht="126">
      <c r="A112" s="33"/>
      <c r="B112" s="39"/>
      <c r="C112" s="33" t="s">
        <v>6</v>
      </c>
      <c r="D112" s="39" t="s">
        <v>347</v>
      </c>
      <c r="E112" s="39"/>
      <c r="F112" s="39" t="s">
        <v>214</v>
      </c>
      <c r="G112" s="28"/>
      <c r="H112" s="33">
        <v>4</v>
      </c>
      <c r="I112" s="34">
        <v>0.3</v>
      </c>
    </row>
    <row r="113" spans="1:9" ht="126">
      <c r="A113" s="36"/>
      <c r="B113" s="32"/>
      <c r="C113" s="33" t="s">
        <v>6</v>
      </c>
      <c r="D113" s="39" t="s">
        <v>348</v>
      </c>
      <c r="E113" s="39"/>
      <c r="F113" s="39" t="s">
        <v>415</v>
      </c>
      <c r="G113" s="28"/>
      <c r="H113" s="33">
        <v>4</v>
      </c>
      <c r="I113" s="34">
        <v>1</v>
      </c>
    </row>
    <row r="114" spans="1:9" ht="126">
      <c r="A114" s="36"/>
      <c r="B114" s="32"/>
      <c r="C114" s="33" t="s">
        <v>6</v>
      </c>
      <c r="D114" s="39" t="s">
        <v>349</v>
      </c>
      <c r="E114" s="39"/>
      <c r="F114" s="39" t="s">
        <v>215</v>
      </c>
      <c r="G114" s="28"/>
      <c r="H114" s="33">
        <v>4</v>
      </c>
      <c r="I114" s="34">
        <v>0.4</v>
      </c>
    </row>
    <row r="115" spans="1:9" ht="110.25">
      <c r="A115" s="49"/>
      <c r="B115" s="32"/>
      <c r="C115" s="33" t="s">
        <v>6</v>
      </c>
      <c r="D115" s="39" t="s">
        <v>350</v>
      </c>
      <c r="E115" s="39"/>
      <c r="F115" s="39" t="s">
        <v>416</v>
      </c>
      <c r="G115" s="28"/>
      <c r="H115" s="33">
        <v>4</v>
      </c>
      <c r="I115" s="34">
        <v>0.6</v>
      </c>
    </row>
    <row r="116" spans="1:9" ht="110.25">
      <c r="A116" s="45"/>
      <c r="B116" s="45"/>
      <c r="C116" s="33" t="s">
        <v>6</v>
      </c>
      <c r="D116" s="39" t="s">
        <v>351</v>
      </c>
      <c r="E116" s="39"/>
      <c r="F116" s="39" t="s">
        <v>216</v>
      </c>
      <c r="G116" s="28"/>
      <c r="H116" s="33">
        <v>4</v>
      </c>
      <c r="I116" s="34">
        <v>0.4</v>
      </c>
    </row>
    <row r="117" spans="1:9" ht="110.25">
      <c r="A117" s="45"/>
      <c r="B117" s="45"/>
      <c r="C117" s="33" t="s">
        <v>6</v>
      </c>
      <c r="D117" s="39" t="s">
        <v>352</v>
      </c>
      <c r="E117" s="39"/>
      <c r="F117" s="39" t="s">
        <v>217</v>
      </c>
      <c r="G117" s="28"/>
      <c r="H117" s="33">
        <v>4</v>
      </c>
      <c r="I117" s="34">
        <v>0.3</v>
      </c>
    </row>
    <row r="118" spans="1:9" ht="94.5">
      <c r="A118" s="45"/>
      <c r="B118" s="45"/>
      <c r="C118" s="33" t="s">
        <v>6</v>
      </c>
      <c r="D118" s="39" t="s">
        <v>353</v>
      </c>
      <c r="E118" s="39"/>
      <c r="F118" s="39" t="s">
        <v>218</v>
      </c>
      <c r="G118" s="28"/>
      <c r="H118" s="33">
        <v>4</v>
      </c>
      <c r="I118" s="34">
        <v>0.4</v>
      </c>
    </row>
    <row r="119" spans="1:9" ht="110.25">
      <c r="A119" s="45"/>
      <c r="B119" s="45"/>
      <c r="C119" s="33" t="s">
        <v>6</v>
      </c>
      <c r="D119" s="39" t="s">
        <v>354</v>
      </c>
      <c r="E119" s="39"/>
      <c r="F119" s="39" t="s">
        <v>417</v>
      </c>
      <c r="G119" s="28"/>
      <c r="H119" s="33">
        <v>4</v>
      </c>
      <c r="I119" s="34">
        <v>0.6</v>
      </c>
    </row>
    <row r="120" spans="1:9" ht="126">
      <c r="A120" s="49"/>
      <c r="B120" s="32"/>
      <c r="C120" s="33" t="s">
        <v>6</v>
      </c>
      <c r="D120" s="39" t="s">
        <v>355</v>
      </c>
      <c r="E120" s="39"/>
      <c r="F120" s="39" t="s">
        <v>219</v>
      </c>
      <c r="G120" s="49"/>
      <c r="H120" s="33">
        <v>4</v>
      </c>
      <c r="I120" s="34">
        <v>0.5</v>
      </c>
    </row>
    <row r="121" spans="1:9" ht="141.75">
      <c r="A121" s="36"/>
      <c r="B121" s="32"/>
      <c r="C121" s="33" t="s">
        <v>6</v>
      </c>
      <c r="D121" s="39" t="s">
        <v>356</v>
      </c>
      <c r="E121" s="39"/>
      <c r="F121" s="39" t="s">
        <v>220</v>
      </c>
      <c r="G121" s="28"/>
      <c r="H121" s="33">
        <v>4</v>
      </c>
      <c r="I121" s="34">
        <v>0.5</v>
      </c>
    </row>
    <row r="122" spans="1:9" ht="126">
      <c r="A122" s="36"/>
      <c r="B122" s="32"/>
      <c r="C122" s="33" t="s">
        <v>6</v>
      </c>
      <c r="D122" s="39" t="s">
        <v>357</v>
      </c>
      <c r="E122" s="39"/>
      <c r="F122" s="39" t="s">
        <v>221</v>
      </c>
      <c r="G122" s="28"/>
      <c r="H122" s="33">
        <v>4</v>
      </c>
      <c r="I122" s="34">
        <v>0.5</v>
      </c>
    </row>
    <row r="123" spans="1:9" ht="141.75">
      <c r="A123" s="49"/>
      <c r="B123" s="32"/>
      <c r="C123" s="33" t="s">
        <v>6</v>
      </c>
      <c r="D123" s="39" t="s">
        <v>358</v>
      </c>
      <c r="E123" s="39"/>
      <c r="F123" s="39" t="s">
        <v>222</v>
      </c>
      <c r="G123" s="28"/>
      <c r="H123" s="33">
        <v>4</v>
      </c>
      <c r="I123" s="34">
        <v>0.5</v>
      </c>
    </row>
    <row r="124" spans="1:9" ht="141.75">
      <c r="A124" s="39"/>
      <c r="B124" s="39"/>
      <c r="C124" s="33" t="s">
        <v>6</v>
      </c>
      <c r="D124" s="39" t="s">
        <v>359</v>
      </c>
      <c r="E124" s="39"/>
      <c r="F124" s="39" t="s">
        <v>223</v>
      </c>
      <c r="G124" s="28"/>
      <c r="H124" s="33">
        <v>4</v>
      </c>
      <c r="I124" s="34">
        <v>0.5</v>
      </c>
    </row>
    <row r="125" spans="1:9" ht="126">
      <c r="A125" s="7"/>
      <c r="B125" s="8"/>
      <c r="C125" s="33" t="s">
        <v>6</v>
      </c>
      <c r="D125" s="39" t="s">
        <v>360</v>
      </c>
      <c r="E125" s="39"/>
      <c r="F125" s="39" t="s">
        <v>224</v>
      </c>
      <c r="G125" s="9"/>
      <c r="H125" s="33">
        <v>4</v>
      </c>
      <c r="I125" s="34">
        <v>0.4</v>
      </c>
    </row>
    <row r="126" spans="1:9" ht="126">
      <c r="A126" s="7"/>
      <c r="B126" s="8"/>
      <c r="C126" s="33" t="s">
        <v>6</v>
      </c>
      <c r="D126" s="39" t="s">
        <v>361</v>
      </c>
      <c r="E126" s="39"/>
      <c r="F126" s="39" t="s">
        <v>225</v>
      </c>
      <c r="G126" s="9"/>
      <c r="H126" s="33">
        <v>4</v>
      </c>
      <c r="I126" s="34">
        <v>0.4</v>
      </c>
    </row>
    <row r="127" spans="1:9" ht="110.25">
      <c r="A127" s="36"/>
      <c r="B127" s="36"/>
      <c r="C127" s="33" t="s">
        <v>6</v>
      </c>
      <c r="D127" s="39" t="s">
        <v>226</v>
      </c>
      <c r="E127" s="39"/>
      <c r="F127" s="39" t="s">
        <v>227</v>
      </c>
      <c r="G127" s="36"/>
      <c r="H127" s="33">
        <v>4</v>
      </c>
      <c r="I127" s="34">
        <v>0.3</v>
      </c>
    </row>
    <row r="128" spans="1:9" ht="110.25">
      <c r="A128" s="36"/>
      <c r="B128" s="36"/>
      <c r="C128" s="33" t="s">
        <v>6</v>
      </c>
      <c r="D128" s="39" t="s">
        <v>228</v>
      </c>
      <c r="E128" s="39"/>
      <c r="F128" s="39" t="s">
        <v>229</v>
      </c>
      <c r="G128" s="36"/>
      <c r="H128" s="33">
        <v>4</v>
      </c>
      <c r="I128" s="34">
        <v>0.3</v>
      </c>
    </row>
    <row r="129" spans="1:9" ht="126">
      <c r="A129" s="36"/>
      <c r="B129" s="36"/>
      <c r="C129" s="33" t="s">
        <v>6</v>
      </c>
      <c r="D129" s="39" t="s">
        <v>230</v>
      </c>
      <c r="E129" s="39"/>
      <c r="F129" s="39" t="s">
        <v>231</v>
      </c>
      <c r="G129" s="36"/>
      <c r="H129" s="33">
        <v>4</v>
      </c>
      <c r="I129" s="34">
        <v>0.3</v>
      </c>
    </row>
    <row r="130" spans="1:9">
      <c r="A130" s="36">
        <v>4</v>
      </c>
      <c r="B130" s="36" t="s">
        <v>283</v>
      </c>
      <c r="C130" s="36"/>
      <c r="D130" s="36"/>
      <c r="E130" s="36"/>
      <c r="F130" s="36"/>
      <c r="G130" s="36"/>
      <c r="H130" s="33"/>
      <c r="I130" s="46"/>
    </row>
    <row r="131" spans="1:9" ht="173.25">
      <c r="A131" s="36"/>
      <c r="B131" s="36"/>
      <c r="C131" s="33" t="s">
        <v>6</v>
      </c>
      <c r="D131" s="39" t="s">
        <v>232</v>
      </c>
      <c r="E131" s="39"/>
      <c r="F131" s="39" t="s">
        <v>233</v>
      </c>
      <c r="G131" s="36"/>
      <c r="H131" s="33">
        <v>5</v>
      </c>
      <c r="I131" s="34">
        <v>0.5</v>
      </c>
    </row>
    <row r="132" spans="1:9" ht="126">
      <c r="A132" s="36"/>
      <c r="B132" s="36"/>
      <c r="C132" s="33" t="s">
        <v>6</v>
      </c>
      <c r="D132" s="39" t="s">
        <v>234</v>
      </c>
      <c r="E132" s="39"/>
      <c r="F132" s="39" t="s">
        <v>235</v>
      </c>
      <c r="G132" s="36"/>
      <c r="H132" s="33">
        <v>5</v>
      </c>
      <c r="I132" s="34">
        <v>0.5</v>
      </c>
    </row>
    <row r="133" spans="1:9" ht="157.5">
      <c r="A133" s="36"/>
      <c r="B133" s="36"/>
      <c r="C133" s="33" t="s">
        <v>6</v>
      </c>
      <c r="D133" s="39" t="s">
        <v>236</v>
      </c>
      <c r="E133" s="39"/>
      <c r="F133" s="39" t="s">
        <v>237</v>
      </c>
      <c r="G133" s="36"/>
      <c r="H133" s="33">
        <v>5</v>
      </c>
      <c r="I133" s="34">
        <v>0.4</v>
      </c>
    </row>
    <row r="134" spans="1:9" ht="141.75">
      <c r="A134" s="7"/>
      <c r="B134" s="8"/>
      <c r="C134" s="33" t="s">
        <v>6</v>
      </c>
      <c r="D134" s="39" t="s">
        <v>238</v>
      </c>
      <c r="E134" s="39"/>
      <c r="F134" s="39" t="s">
        <v>239</v>
      </c>
      <c r="G134" s="9"/>
      <c r="H134" s="33">
        <v>4</v>
      </c>
      <c r="I134" s="34">
        <v>0.4</v>
      </c>
    </row>
    <row r="135" spans="1:9" ht="157.5">
      <c r="A135" s="36"/>
      <c r="B135" s="36"/>
      <c r="C135" s="33" t="s">
        <v>6</v>
      </c>
      <c r="D135" s="39" t="s">
        <v>240</v>
      </c>
      <c r="E135" s="39"/>
      <c r="F135" s="39" t="s">
        <v>241</v>
      </c>
      <c r="G135" s="36"/>
      <c r="H135" s="33">
        <v>4</v>
      </c>
      <c r="I135" s="34">
        <v>0.3</v>
      </c>
    </row>
    <row r="136" spans="1:9" ht="141.75">
      <c r="A136" s="36"/>
      <c r="B136" s="36"/>
      <c r="C136" s="33" t="s">
        <v>6</v>
      </c>
      <c r="D136" s="39" t="s">
        <v>242</v>
      </c>
      <c r="E136" s="39"/>
      <c r="F136" s="39" t="s">
        <v>243</v>
      </c>
      <c r="G136" s="36"/>
      <c r="H136" s="33">
        <v>4</v>
      </c>
      <c r="I136" s="34">
        <v>0.3</v>
      </c>
    </row>
    <row r="137" spans="1:9" ht="110.25">
      <c r="A137" s="36"/>
      <c r="B137" s="36"/>
      <c r="C137" s="33" t="s">
        <v>6</v>
      </c>
      <c r="D137" s="39" t="s">
        <v>244</v>
      </c>
      <c r="E137" s="39"/>
      <c r="F137" s="39" t="s">
        <v>245</v>
      </c>
      <c r="G137" s="36"/>
      <c r="H137" s="33">
        <v>5</v>
      </c>
      <c r="I137" s="34">
        <v>0.3</v>
      </c>
    </row>
    <row r="138" spans="1:9" ht="126">
      <c r="A138" s="36"/>
      <c r="B138" s="36"/>
      <c r="C138" s="33" t="s">
        <v>6</v>
      </c>
      <c r="D138" s="39" t="s">
        <v>246</v>
      </c>
      <c r="E138" s="39"/>
      <c r="F138" s="39" t="s">
        <v>247</v>
      </c>
      <c r="G138" s="36"/>
      <c r="H138" s="33">
        <v>4</v>
      </c>
      <c r="I138" s="34">
        <v>0.5</v>
      </c>
    </row>
    <row r="139" spans="1:9" ht="110.25">
      <c r="A139" s="36"/>
      <c r="B139" s="36"/>
      <c r="C139" s="33" t="s">
        <v>6</v>
      </c>
      <c r="D139" s="39" t="s">
        <v>248</v>
      </c>
      <c r="E139" s="39"/>
      <c r="F139" s="39" t="s">
        <v>249</v>
      </c>
      <c r="G139" s="36"/>
      <c r="H139" s="33">
        <v>5</v>
      </c>
      <c r="I139" s="34">
        <v>0.3</v>
      </c>
    </row>
    <row r="140" spans="1:9" ht="126">
      <c r="A140" s="36"/>
      <c r="B140" s="36"/>
      <c r="C140" s="33" t="s">
        <v>6</v>
      </c>
      <c r="D140" s="39" t="s">
        <v>250</v>
      </c>
      <c r="E140" s="39"/>
      <c r="F140" s="39" t="s">
        <v>251</v>
      </c>
      <c r="G140" s="36"/>
      <c r="H140" s="33">
        <v>4</v>
      </c>
      <c r="I140" s="34">
        <v>0.3</v>
      </c>
    </row>
    <row r="141" spans="1:9" ht="126">
      <c r="A141" s="36"/>
      <c r="B141" s="36"/>
      <c r="C141" s="33" t="s">
        <v>6</v>
      </c>
      <c r="D141" s="39" t="s">
        <v>252</v>
      </c>
      <c r="E141" s="39"/>
      <c r="F141" s="39" t="s">
        <v>253</v>
      </c>
      <c r="G141" s="36"/>
      <c r="H141" s="33">
        <v>4</v>
      </c>
      <c r="I141" s="34">
        <v>0.5</v>
      </c>
    </row>
    <row r="142" spans="1:9" ht="141.75">
      <c r="A142" s="36"/>
      <c r="B142" s="36"/>
      <c r="C142" s="33" t="s">
        <v>6</v>
      </c>
      <c r="D142" s="39" t="s">
        <v>254</v>
      </c>
      <c r="E142" s="39"/>
      <c r="F142" s="39" t="s">
        <v>255</v>
      </c>
      <c r="G142" s="28"/>
      <c r="H142" s="33">
        <v>4</v>
      </c>
      <c r="I142" s="34">
        <v>0.3</v>
      </c>
    </row>
    <row r="143" spans="1:9" ht="126">
      <c r="A143" s="36"/>
      <c r="B143" s="36"/>
      <c r="C143" s="33" t="s">
        <v>6</v>
      </c>
      <c r="D143" s="39" t="s">
        <v>256</v>
      </c>
      <c r="E143" s="39"/>
      <c r="F143" s="39" t="s">
        <v>257</v>
      </c>
      <c r="G143" s="28"/>
      <c r="H143" s="33">
        <v>4</v>
      </c>
      <c r="I143" s="34">
        <v>0.5</v>
      </c>
    </row>
    <row r="144" spans="1:9" ht="141.75">
      <c r="A144" s="36"/>
      <c r="B144" s="36"/>
      <c r="C144" s="33" t="s">
        <v>6</v>
      </c>
      <c r="D144" s="39" t="s">
        <v>258</v>
      </c>
      <c r="E144" s="39"/>
      <c r="F144" s="39" t="s">
        <v>259</v>
      </c>
      <c r="G144" s="28"/>
      <c r="H144" s="33">
        <v>4</v>
      </c>
      <c r="I144" s="34">
        <v>0.4</v>
      </c>
    </row>
    <row r="145" spans="1:9" ht="110.25">
      <c r="A145" s="36"/>
      <c r="B145" s="36"/>
      <c r="C145" s="33" t="s">
        <v>6</v>
      </c>
      <c r="D145" s="39" t="s">
        <v>260</v>
      </c>
      <c r="E145" s="39"/>
      <c r="F145" s="39" t="s">
        <v>261</v>
      </c>
      <c r="G145" s="28"/>
      <c r="H145" s="33">
        <v>4</v>
      </c>
      <c r="I145" s="34">
        <v>0.2</v>
      </c>
    </row>
    <row r="146" spans="1:9" ht="141.75">
      <c r="A146" s="36"/>
      <c r="B146" s="36"/>
      <c r="C146" s="33" t="s">
        <v>6</v>
      </c>
      <c r="D146" s="39" t="s">
        <v>362</v>
      </c>
      <c r="E146" s="39"/>
      <c r="F146" s="39" t="s">
        <v>418</v>
      </c>
      <c r="G146" s="28"/>
      <c r="H146" s="33">
        <v>4</v>
      </c>
      <c r="I146" s="34">
        <v>1</v>
      </c>
    </row>
    <row r="147" spans="1:9" ht="126">
      <c r="A147" s="7"/>
      <c r="B147" s="8"/>
      <c r="C147" s="33" t="s">
        <v>6</v>
      </c>
      <c r="D147" s="39" t="s">
        <v>363</v>
      </c>
      <c r="E147" s="39"/>
      <c r="F147" s="39" t="s">
        <v>419</v>
      </c>
      <c r="G147" s="9"/>
      <c r="H147" s="33">
        <v>4</v>
      </c>
      <c r="I147" s="34">
        <v>1</v>
      </c>
    </row>
    <row r="148" spans="1:9" ht="110.25">
      <c r="A148" s="36"/>
      <c r="B148" s="36"/>
      <c r="C148" s="33" t="s">
        <v>6</v>
      </c>
      <c r="D148" s="39" t="s">
        <v>364</v>
      </c>
      <c r="E148" s="39"/>
      <c r="F148" s="39" t="s">
        <v>420</v>
      </c>
      <c r="G148" s="36"/>
      <c r="H148" s="33">
        <v>4</v>
      </c>
      <c r="I148" s="34">
        <v>0.8</v>
      </c>
    </row>
    <row r="149" spans="1:9" ht="126">
      <c r="A149" s="36"/>
      <c r="B149" s="36"/>
      <c r="C149" s="33" t="s">
        <v>6</v>
      </c>
      <c r="D149" s="39" t="s">
        <v>365</v>
      </c>
      <c r="E149" s="39"/>
      <c r="F149" s="39" t="s">
        <v>421</v>
      </c>
      <c r="G149" s="36"/>
      <c r="H149" s="33">
        <v>4</v>
      </c>
      <c r="I149" s="34">
        <v>0.8</v>
      </c>
    </row>
    <row r="150" spans="1:9" ht="126">
      <c r="A150" s="36"/>
      <c r="B150" s="36"/>
      <c r="C150" s="33" t="s">
        <v>6</v>
      </c>
      <c r="D150" s="39" t="s">
        <v>366</v>
      </c>
      <c r="E150" s="39"/>
      <c r="F150" s="39" t="s">
        <v>262</v>
      </c>
      <c r="G150" s="36"/>
      <c r="H150" s="33">
        <v>4</v>
      </c>
      <c r="I150" s="34">
        <v>0.3</v>
      </c>
    </row>
    <row r="151" spans="1:9" ht="126">
      <c r="A151" s="36"/>
      <c r="B151" s="36"/>
      <c r="C151" s="33" t="s">
        <v>6</v>
      </c>
      <c r="D151" s="39" t="s">
        <v>367</v>
      </c>
      <c r="E151" s="39"/>
      <c r="F151" s="39" t="s">
        <v>263</v>
      </c>
      <c r="G151" s="36"/>
      <c r="H151" s="33">
        <v>4</v>
      </c>
      <c r="I151" s="34">
        <v>0.5</v>
      </c>
    </row>
    <row r="152" spans="1:9" ht="126">
      <c r="A152" s="36"/>
      <c r="B152" s="36"/>
      <c r="C152" s="33" t="s">
        <v>6</v>
      </c>
      <c r="D152" s="39" t="s">
        <v>368</v>
      </c>
      <c r="E152" s="39"/>
      <c r="F152" s="39" t="s">
        <v>264</v>
      </c>
      <c r="G152" s="36"/>
      <c r="H152" s="33">
        <v>4</v>
      </c>
      <c r="I152" s="34">
        <v>0.3</v>
      </c>
    </row>
    <row r="153" spans="1:9" ht="110.25">
      <c r="A153" s="36"/>
      <c r="B153" s="36"/>
      <c r="C153" s="33" t="s">
        <v>6</v>
      </c>
      <c r="D153" s="39" t="s">
        <v>369</v>
      </c>
      <c r="E153" s="39"/>
      <c r="F153" s="39" t="s">
        <v>265</v>
      </c>
      <c r="G153" s="36"/>
      <c r="H153" s="33">
        <v>4</v>
      </c>
      <c r="I153" s="34">
        <v>0.5</v>
      </c>
    </row>
    <row r="154" spans="1:9" ht="110.25">
      <c r="A154" s="36"/>
      <c r="B154" s="36"/>
      <c r="C154" s="33" t="s">
        <v>6</v>
      </c>
      <c r="D154" s="39" t="s">
        <v>370</v>
      </c>
      <c r="E154" s="39"/>
      <c r="F154" s="39" t="s">
        <v>266</v>
      </c>
      <c r="G154" s="36"/>
      <c r="H154" s="33">
        <v>4</v>
      </c>
      <c r="I154" s="34">
        <v>0.5</v>
      </c>
    </row>
    <row r="155" spans="1:9" ht="110.25">
      <c r="A155" s="7"/>
      <c r="B155" s="8"/>
      <c r="C155" s="33" t="s">
        <v>6</v>
      </c>
      <c r="D155" s="39" t="s">
        <v>371</v>
      </c>
      <c r="E155" s="39"/>
      <c r="F155" s="39" t="s">
        <v>424</v>
      </c>
      <c r="G155" s="9"/>
      <c r="H155" s="33">
        <v>4</v>
      </c>
      <c r="I155" s="34">
        <v>0.8</v>
      </c>
    </row>
    <row r="156" spans="1:9" ht="126">
      <c r="A156" s="36"/>
      <c r="B156" s="36"/>
      <c r="C156" s="33" t="s">
        <v>6</v>
      </c>
      <c r="D156" s="39" t="s">
        <v>372</v>
      </c>
      <c r="E156" s="39"/>
      <c r="F156" s="39" t="s">
        <v>422</v>
      </c>
      <c r="G156" s="36"/>
      <c r="H156" s="33">
        <v>4</v>
      </c>
      <c r="I156" s="34">
        <v>0.8</v>
      </c>
    </row>
    <row r="157" spans="1:9" ht="110.25">
      <c r="A157" s="36"/>
      <c r="B157" s="36"/>
      <c r="C157" s="33" t="s">
        <v>6</v>
      </c>
      <c r="D157" s="39" t="s">
        <v>373</v>
      </c>
      <c r="E157" s="39"/>
      <c r="F157" s="39" t="s">
        <v>425</v>
      </c>
      <c r="G157" s="36"/>
      <c r="H157" s="33">
        <v>4</v>
      </c>
      <c r="I157" s="34">
        <v>0.8</v>
      </c>
    </row>
    <row r="158" spans="1:9" ht="94.5">
      <c r="A158" s="36"/>
      <c r="B158" s="36"/>
      <c r="C158" s="33" t="s">
        <v>6</v>
      </c>
      <c r="D158" s="39" t="s">
        <v>374</v>
      </c>
      <c r="E158" s="39"/>
      <c r="F158" s="39" t="s">
        <v>423</v>
      </c>
      <c r="G158" s="36"/>
      <c r="H158" s="33">
        <v>4</v>
      </c>
      <c r="I158" s="34">
        <v>0.8</v>
      </c>
    </row>
    <row r="159" spans="1:9" ht="126">
      <c r="A159" s="36"/>
      <c r="B159" s="36"/>
      <c r="C159" s="33" t="s">
        <v>6</v>
      </c>
      <c r="D159" s="39" t="s">
        <v>375</v>
      </c>
      <c r="E159" s="39"/>
      <c r="F159" s="39" t="s">
        <v>267</v>
      </c>
      <c r="G159" s="36"/>
      <c r="H159" s="33">
        <v>4</v>
      </c>
      <c r="I159" s="34">
        <v>0.5</v>
      </c>
    </row>
    <row r="160" spans="1:9" ht="110.25">
      <c r="A160" s="36"/>
      <c r="B160" s="36"/>
      <c r="C160" s="33" t="s">
        <v>6</v>
      </c>
      <c r="D160" s="39" t="s">
        <v>376</v>
      </c>
      <c r="E160" s="39"/>
      <c r="F160" s="39" t="s">
        <v>268</v>
      </c>
      <c r="G160" s="36"/>
      <c r="H160" s="33">
        <v>4</v>
      </c>
      <c r="I160" s="34">
        <v>0.5</v>
      </c>
    </row>
    <row r="161" spans="1:9" ht="126">
      <c r="A161" s="7"/>
      <c r="B161" s="8"/>
      <c r="C161" s="33" t="s">
        <v>6</v>
      </c>
      <c r="D161" s="39" t="s">
        <v>377</v>
      </c>
      <c r="E161" s="39"/>
      <c r="F161" s="39" t="s">
        <v>426</v>
      </c>
      <c r="G161" s="9"/>
      <c r="H161" s="33">
        <v>4</v>
      </c>
      <c r="I161" s="34">
        <v>0.8</v>
      </c>
    </row>
    <row r="162" spans="1:9" ht="126">
      <c r="A162" s="36"/>
      <c r="B162" s="36"/>
      <c r="C162" s="33" t="s">
        <v>6</v>
      </c>
      <c r="D162" s="39" t="s">
        <v>378</v>
      </c>
      <c r="E162" s="39"/>
      <c r="F162" s="39" t="s">
        <v>269</v>
      </c>
      <c r="G162" s="36"/>
      <c r="H162" s="33">
        <v>4</v>
      </c>
      <c r="I162" s="34">
        <v>0.4</v>
      </c>
    </row>
    <row r="163" spans="1:9" ht="126">
      <c r="A163" s="36"/>
      <c r="B163" s="36"/>
      <c r="C163" s="33" t="s">
        <v>6</v>
      </c>
      <c r="D163" s="39" t="s">
        <v>379</v>
      </c>
      <c r="E163" s="39"/>
      <c r="F163" s="39" t="s">
        <v>270</v>
      </c>
      <c r="G163" s="36"/>
      <c r="H163" s="33">
        <v>4</v>
      </c>
      <c r="I163" s="34">
        <v>0.5</v>
      </c>
    </row>
    <row r="164" spans="1:9" ht="126">
      <c r="A164" s="36"/>
      <c r="B164" s="36"/>
      <c r="C164" s="33" t="s">
        <v>6</v>
      </c>
      <c r="D164" s="39" t="s">
        <v>380</v>
      </c>
      <c r="E164" s="39"/>
      <c r="F164" s="39" t="s">
        <v>271</v>
      </c>
      <c r="G164" s="36"/>
      <c r="H164" s="33">
        <v>4</v>
      </c>
      <c r="I164" s="34">
        <v>0.4</v>
      </c>
    </row>
    <row r="165" spans="1:9" ht="126">
      <c r="A165" s="7"/>
      <c r="B165" s="8"/>
      <c r="C165" s="33" t="s">
        <v>6</v>
      </c>
      <c r="D165" s="39" t="s">
        <v>272</v>
      </c>
      <c r="E165" s="39"/>
      <c r="F165" s="39" t="s">
        <v>273</v>
      </c>
      <c r="G165" s="9"/>
      <c r="H165" s="33">
        <v>4</v>
      </c>
      <c r="I165" s="34">
        <v>0.4</v>
      </c>
    </row>
    <row r="166" spans="1:9" ht="126">
      <c r="A166" s="36"/>
      <c r="B166" s="36"/>
      <c r="C166" s="33" t="s">
        <v>6</v>
      </c>
      <c r="D166" s="39" t="s">
        <v>274</v>
      </c>
      <c r="E166" s="39"/>
      <c r="F166" s="39" t="s">
        <v>275</v>
      </c>
      <c r="G166" s="36"/>
      <c r="H166" s="33">
        <v>4</v>
      </c>
      <c r="I166" s="34">
        <v>0.5</v>
      </c>
    </row>
    <row r="167" spans="1:9" ht="110.25">
      <c r="A167" s="36"/>
      <c r="B167" s="36"/>
      <c r="C167" s="33" t="s">
        <v>6</v>
      </c>
      <c r="D167" s="39" t="s">
        <v>276</v>
      </c>
      <c r="E167" s="39"/>
      <c r="F167" s="39" t="s">
        <v>277</v>
      </c>
      <c r="G167" s="36"/>
      <c r="H167" s="33">
        <v>4</v>
      </c>
      <c r="I167" s="34">
        <v>0.2</v>
      </c>
    </row>
    <row r="168" spans="1:9" ht="126">
      <c r="A168" s="36"/>
      <c r="B168" s="36"/>
      <c r="C168" s="33" t="s">
        <v>6</v>
      </c>
      <c r="D168" s="39" t="s">
        <v>278</v>
      </c>
      <c r="E168" s="39"/>
      <c r="F168" s="39" t="s">
        <v>279</v>
      </c>
      <c r="G168" s="36"/>
      <c r="H168" s="33">
        <v>4</v>
      </c>
      <c r="I168" s="34">
        <v>0.4</v>
      </c>
    </row>
    <row r="169" spans="1:9" ht="126">
      <c r="A169" s="36"/>
      <c r="B169" s="36"/>
      <c r="C169" s="33" t="s">
        <v>6</v>
      </c>
      <c r="D169" s="39" t="s">
        <v>381</v>
      </c>
      <c r="E169" s="39"/>
      <c r="F169" s="39" t="s">
        <v>280</v>
      </c>
      <c r="G169" s="36"/>
      <c r="H169" s="33">
        <v>4</v>
      </c>
      <c r="I169" s="34">
        <v>0.6</v>
      </c>
    </row>
    <row r="170" spans="1:9" ht="126">
      <c r="A170" s="36"/>
      <c r="B170" s="36"/>
      <c r="C170" s="33" t="s">
        <v>6</v>
      </c>
      <c r="D170" s="39" t="s">
        <v>382</v>
      </c>
      <c r="E170" s="39"/>
      <c r="F170" s="39" t="s">
        <v>281</v>
      </c>
      <c r="G170" s="36"/>
      <c r="H170" s="33">
        <v>4</v>
      </c>
      <c r="I170" s="34">
        <v>0.6</v>
      </c>
    </row>
    <row r="171" spans="1:9">
      <c r="A171" s="36"/>
      <c r="B171" s="36"/>
      <c r="C171" s="36"/>
      <c r="D171" s="36"/>
      <c r="E171" s="36"/>
      <c r="F171" s="36"/>
      <c r="G171" s="36"/>
      <c r="H171" s="43"/>
      <c r="I171" s="48"/>
    </row>
    <row r="172" spans="1:9">
      <c r="A172" s="14" t="s">
        <v>11</v>
      </c>
      <c r="B172" s="64" t="s">
        <v>92</v>
      </c>
      <c r="C172" s="64"/>
      <c r="D172" s="64"/>
      <c r="E172" s="64"/>
      <c r="F172" s="64"/>
      <c r="G172" s="64"/>
      <c r="H172" s="64"/>
      <c r="I172" s="17">
        <f>SUM(I174:I193)</f>
        <v>8</v>
      </c>
    </row>
    <row r="173" spans="1:9">
      <c r="A173" s="55">
        <v>1</v>
      </c>
      <c r="B173" s="56" t="s">
        <v>313</v>
      </c>
      <c r="C173" s="56"/>
      <c r="D173" s="56"/>
      <c r="E173" s="56"/>
      <c r="F173" s="56"/>
      <c r="G173" s="56"/>
      <c r="H173" s="56"/>
      <c r="I173" s="57"/>
    </row>
    <row r="174" spans="1:9" ht="141.75">
      <c r="A174" s="55"/>
      <c r="B174" s="56"/>
      <c r="C174" s="33" t="s">
        <v>6</v>
      </c>
      <c r="D174" s="39" t="s">
        <v>284</v>
      </c>
      <c r="E174" s="39"/>
      <c r="F174" s="39" t="s">
        <v>285</v>
      </c>
      <c r="G174" s="56"/>
      <c r="H174" s="33">
        <v>6</v>
      </c>
      <c r="I174" s="34">
        <v>0.5</v>
      </c>
    </row>
    <row r="175" spans="1:9" ht="141.75">
      <c r="A175" s="55"/>
      <c r="B175" s="56"/>
      <c r="C175" s="33" t="s">
        <v>6</v>
      </c>
      <c r="D175" s="39" t="s">
        <v>286</v>
      </c>
      <c r="E175" s="39"/>
      <c r="F175" s="39" t="s">
        <v>287</v>
      </c>
      <c r="G175" s="56"/>
      <c r="H175" s="33">
        <v>6</v>
      </c>
      <c r="I175" s="34">
        <v>0.3</v>
      </c>
    </row>
    <row r="176" spans="1:9" ht="126">
      <c r="A176" s="55"/>
      <c r="B176" s="56"/>
      <c r="C176" s="33" t="s">
        <v>6</v>
      </c>
      <c r="D176" s="39" t="s">
        <v>288</v>
      </c>
      <c r="E176" s="39"/>
      <c r="F176" s="39" t="s">
        <v>289</v>
      </c>
      <c r="G176" s="56"/>
      <c r="H176" s="33">
        <v>6</v>
      </c>
      <c r="I176" s="34">
        <v>0.4</v>
      </c>
    </row>
    <row r="177" spans="1:9" ht="126">
      <c r="A177" s="55"/>
      <c r="B177" s="56"/>
      <c r="C177" s="33" t="s">
        <v>6</v>
      </c>
      <c r="D177" s="39" t="s">
        <v>290</v>
      </c>
      <c r="E177" s="39"/>
      <c r="F177" s="39" t="s">
        <v>291</v>
      </c>
      <c r="G177" s="56"/>
      <c r="H177" s="33">
        <v>6</v>
      </c>
      <c r="I177" s="34">
        <v>0.4</v>
      </c>
    </row>
    <row r="178" spans="1:9" ht="110.25">
      <c r="A178" s="55"/>
      <c r="B178" s="56"/>
      <c r="C178" s="33" t="s">
        <v>6</v>
      </c>
      <c r="D178" s="39" t="s">
        <v>292</v>
      </c>
      <c r="E178" s="39"/>
      <c r="F178" s="39" t="s">
        <v>293</v>
      </c>
      <c r="G178" s="56"/>
      <c r="H178" s="33">
        <v>6</v>
      </c>
      <c r="I178" s="34">
        <v>0.4</v>
      </c>
    </row>
    <row r="179" spans="1:9" ht="166.5">
      <c r="A179" s="55"/>
      <c r="B179" s="56"/>
      <c r="C179" s="33" t="s">
        <v>6</v>
      </c>
      <c r="D179" s="39" t="s">
        <v>294</v>
      </c>
      <c r="E179" s="39"/>
      <c r="F179" s="39" t="s">
        <v>295</v>
      </c>
      <c r="G179" s="56"/>
      <c r="H179" s="33">
        <v>6</v>
      </c>
      <c r="I179" s="34">
        <v>0.3</v>
      </c>
    </row>
    <row r="180" spans="1:9" ht="126">
      <c r="A180" s="55"/>
      <c r="B180" s="56"/>
      <c r="C180" s="33" t="s">
        <v>6</v>
      </c>
      <c r="D180" s="39" t="s">
        <v>383</v>
      </c>
      <c r="E180" s="39"/>
      <c r="F180" s="39" t="s">
        <v>296</v>
      </c>
      <c r="G180" s="56"/>
      <c r="H180" s="33">
        <v>6</v>
      </c>
      <c r="I180" s="34">
        <v>0.5</v>
      </c>
    </row>
    <row r="181" spans="1:9" ht="126">
      <c r="A181" s="55"/>
      <c r="B181" s="56"/>
      <c r="C181" s="33" t="s">
        <v>6</v>
      </c>
      <c r="D181" s="39" t="s">
        <v>384</v>
      </c>
      <c r="E181" s="39"/>
      <c r="F181" s="39" t="s">
        <v>297</v>
      </c>
      <c r="G181" s="56"/>
      <c r="H181" s="33">
        <v>6</v>
      </c>
      <c r="I181" s="34">
        <v>0.4</v>
      </c>
    </row>
    <row r="182" spans="1:9" ht="110.25">
      <c r="A182" s="55"/>
      <c r="B182" s="56"/>
      <c r="C182" s="33" t="s">
        <v>6</v>
      </c>
      <c r="D182" s="39" t="s">
        <v>385</v>
      </c>
      <c r="E182" s="39"/>
      <c r="F182" s="39" t="s">
        <v>298</v>
      </c>
      <c r="G182" s="56"/>
      <c r="H182" s="33">
        <v>6</v>
      </c>
      <c r="I182" s="34">
        <v>0.4</v>
      </c>
    </row>
    <row r="183" spans="1:9" ht="126">
      <c r="A183" s="55"/>
      <c r="B183" s="56"/>
      <c r="C183" s="33" t="s">
        <v>6</v>
      </c>
      <c r="D183" s="39" t="s">
        <v>386</v>
      </c>
      <c r="E183" s="39"/>
      <c r="F183" s="39" t="s">
        <v>299</v>
      </c>
      <c r="G183" s="56"/>
      <c r="H183" s="33">
        <v>6</v>
      </c>
      <c r="I183" s="34">
        <v>0.5</v>
      </c>
    </row>
    <row r="184" spans="1:9" ht="126">
      <c r="A184" s="55"/>
      <c r="B184" s="56"/>
      <c r="C184" s="33" t="s">
        <v>6</v>
      </c>
      <c r="D184" s="39" t="s">
        <v>387</v>
      </c>
      <c r="E184" s="39"/>
      <c r="F184" s="39" t="s">
        <v>300</v>
      </c>
      <c r="G184" s="56"/>
      <c r="H184" s="33">
        <v>6</v>
      </c>
      <c r="I184" s="34">
        <v>0.4</v>
      </c>
    </row>
    <row r="185" spans="1:9" ht="110.25">
      <c r="A185" s="55"/>
      <c r="B185" s="56"/>
      <c r="C185" s="33" t="s">
        <v>6</v>
      </c>
      <c r="D185" s="39" t="s">
        <v>388</v>
      </c>
      <c r="E185" s="39"/>
      <c r="F185" s="39" t="s">
        <v>301</v>
      </c>
      <c r="G185" s="56"/>
      <c r="H185" s="33">
        <v>6</v>
      </c>
      <c r="I185" s="34">
        <v>0.4</v>
      </c>
    </row>
    <row r="186" spans="1:9" ht="110.25">
      <c r="A186" s="55"/>
      <c r="B186" s="56"/>
      <c r="C186" s="33" t="s">
        <v>6</v>
      </c>
      <c r="D186" s="39" t="s">
        <v>389</v>
      </c>
      <c r="E186" s="39"/>
      <c r="F186" s="39" t="s">
        <v>302</v>
      </c>
      <c r="G186" s="56"/>
      <c r="H186" s="33">
        <v>6</v>
      </c>
      <c r="I186" s="34">
        <v>0.4</v>
      </c>
    </row>
    <row r="187" spans="1:9" ht="126">
      <c r="A187" s="55"/>
      <c r="B187" s="56"/>
      <c r="C187" s="33" t="s">
        <v>6</v>
      </c>
      <c r="D187" s="39" t="s">
        <v>390</v>
      </c>
      <c r="E187" s="39"/>
      <c r="F187" s="39" t="s">
        <v>303</v>
      </c>
      <c r="G187" s="56"/>
      <c r="H187" s="33">
        <v>6</v>
      </c>
      <c r="I187" s="34">
        <v>0.5</v>
      </c>
    </row>
    <row r="188" spans="1:9" ht="94.5">
      <c r="A188" s="55"/>
      <c r="B188" s="56"/>
      <c r="C188" s="33" t="s">
        <v>6</v>
      </c>
      <c r="D188" s="39" t="s">
        <v>391</v>
      </c>
      <c r="E188" s="39"/>
      <c r="F188" s="39" t="s">
        <v>304</v>
      </c>
      <c r="G188" s="56"/>
      <c r="H188" s="33">
        <v>6</v>
      </c>
      <c r="I188" s="34">
        <v>0.3</v>
      </c>
    </row>
    <row r="189" spans="1:9" ht="110.25">
      <c r="A189" s="55"/>
      <c r="B189" s="56"/>
      <c r="C189" s="33" t="s">
        <v>6</v>
      </c>
      <c r="D189" s="39" t="s">
        <v>392</v>
      </c>
      <c r="E189" s="39"/>
      <c r="F189" s="39" t="s">
        <v>305</v>
      </c>
      <c r="G189" s="56"/>
      <c r="H189" s="33">
        <v>6</v>
      </c>
      <c r="I189" s="34">
        <v>0.3</v>
      </c>
    </row>
    <row r="190" spans="1:9" ht="110.25">
      <c r="A190" s="55"/>
      <c r="B190" s="56"/>
      <c r="C190" s="33" t="s">
        <v>6</v>
      </c>
      <c r="D190" s="39" t="s">
        <v>393</v>
      </c>
      <c r="E190" s="39"/>
      <c r="F190" s="39" t="s">
        <v>306</v>
      </c>
      <c r="G190" s="56"/>
      <c r="H190" s="33">
        <v>6</v>
      </c>
      <c r="I190" s="34">
        <v>0.3</v>
      </c>
    </row>
    <row r="191" spans="1:9" ht="126">
      <c r="A191" s="55"/>
      <c r="B191" s="56"/>
      <c r="C191" s="33" t="s">
        <v>6</v>
      </c>
      <c r="D191" s="39" t="s">
        <v>307</v>
      </c>
      <c r="E191" s="39"/>
      <c r="F191" s="39" t="s">
        <v>308</v>
      </c>
      <c r="G191" s="56"/>
      <c r="H191" s="33">
        <v>6</v>
      </c>
      <c r="I191" s="34">
        <v>0.4</v>
      </c>
    </row>
    <row r="192" spans="1:9" ht="126">
      <c r="A192" s="55"/>
      <c r="B192" s="56"/>
      <c r="C192" s="33" t="s">
        <v>6</v>
      </c>
      <c r="D192" s="39" t="s">
        <v>309</v>
      </c>
      <c r="E192" s="39"/>
      <c r="F192" s="39" t="s">
        <v>310</v>
      </c>
      <c r="G192" s="56"/>
      <c r="H192" s="33">
        <v>6</v>
      </c>
      <c r="I192" s="34">
        <v>0.5</v>
      </c>
    </row>
    <row r="193" spans="1:9" ht="126">
      <c r="A193" s="55"/>
      <c r="B193" s="56"/>
      <c r="C193" s="33" t="s">
        <v>6</v>
      </c>
      <c r="D193" s="39" t="s">
        <v>311</v>
      </c>
      <c r="E193" s="39"/>
      <c r="F193" s="39" t="s">
        <v>312</v>
      </c>
      <c r="G193" s="56"/>
      <c r="H193" s="33">
        <v>6</v>
      </c>
      <c r="I193" s="34">
        <v>0.4</v>
      </c>
    </row>
    <row r="194" spans="1:9">
      <c r="A194" s="14" t="s">
        <v>17</v>
      </c>
      <c r="B194" s="64" t="s">
        <v>88</v>
      </c>
      <c r="C194" s="64"/>
      <c r="D194" s="64"/>
      <c r="E194" s="64"/>
      <c r="F194" s="64"/>
      <c r="G194" s="64"/>
      <c r="H194" s="64"/>
      <c r="I194" s="17">
        <f>SUM(I196:I229)</f>
        <v>19.000000000000007</v>
      </c>
    </row>
    <row r="195" spans="1:9" s="13" customFormat="1">
      <c r="A195" s="8">
        <v>1</v>
      </c>
      <c r="B195" s="8" t="s">
        <v>83</v>
      </c>
      <c r="C195" s="8"/>
      <c r="D195" s="8"/>
      <c r="E195" s="8"/>
      <c r="F195" s="8"/>
      <c r="G195" s="8"/>
      <c r="H195" s="8"/>
      <c r="I195" s="8"/>
    </row>
    <row r="196" spans="1:9" ht="31.5">
      <c r="A196" s="8"/>
      <c r="B196" s="8"/>
      <c r="C196" s="7" t="s">
        <v>6</v>
      </c>
      <c r="D196" s="44" t="s">
        <v>84</v>
      </c>
      <c r="E196" s="7"/>
      <c r="F196" s="7"/>
      <c r="G196" s="7"/>
      <c r="H196" s="7">
        <v>1</v>
      </c>
      <c r="I196" s="7">
        <v>1</v>
      </c>
    </row>
    <row r="197" spans="1:9" ht="31.5">
      <c r="A197" s="8"/>
      <c r="B197" s="8"/>
      <c r="C197" s="7" t="s">
        <v>6</v>
      </c>
      <c r="D197" s="44" t="s">
        <v>85</v>
      </c>
      <c r="E197" s="7"/>
      <c r="F197" s="7"/>
      <c r="G197" s="7"/>
      <c r="H197" s="7">
        <v>1</v>
      </c>
      <c r="I197" s="7">
        <v>1</v>
      </c>
    </row>
    <row r="198" spans="1:9" ht="31.5">
      <c r="A198" s="8"/>
      <c r="B198" s="8"/>
      <c r="C198" s="7" t="s">
        <v>6</v>
      </c>
      <c r="D198" s="44" t="s">
        <v>86</v>
      </c>
      <c r="E198" s="7"/>
      <c r="F198" s="7"/>
      <c r="G198" s="7"/>
      <c r="H198" s="7">
        <v>1</v>
      </c>
      <c r="I198" s="7">
        <v>1</v>
      </c>
    </row>
    <row r="199" spans="1:9" ht="31.5">
      <c r="A199" s="8"/>
      <c r="B199" s="8"/>
      <c r="C199" s="7" t="s">
        <v>6</v>
      </c>
      <c r="D199" s="44" t="s">
        <v>87</v>
      </c>
      <c r="E199" s="7"/>
      <c r="F199" s="7"/>
      <c r="G199" s="7"/>
      <c r="H199" s="7">
        <v>1</v>
      </c>
      <c r="I199" s="7">
        <v>1</v>
      </c>
    </row>
    <row r="200" spans="1:9" ht="31.5">
      <c r="A200" s="8"/>
      <c r="B200" s="8"/>
      <c r="C200" s="7" t="s">
        <v>6</v>
      </c>
      <c r="D200" s="44" t="s">
        <v>427</v>
      </c>
      <c r="E200" s="7"/>
      <c r="F200" s="7"/>
      <c r="G200" s="7"/>
      <c r="H200" s="7">
        <v>1</v>
      </c>
      <c r="I200" s="7">
        <v>1</v>
      </c>
    </row>
    <row r="201" spans="1:9">
      <c r="A201" s="8">
        <v>2</v>
      </c>
      <c r="B201" s="8" t="s">
        <v>89</v>
      </c>
      <c r="C201" s="7"/>
      <c r="D201" s="44"/>
      <c r="E201" s="7"/>
      <c r="F201" s="7"/>
      <c r="G201" s="7"/>
      <c r="H201" s="7"/>
      <c r="I201" s="7"/>
    </row>
    <row r="202" spans="1:9" ht="47.25">
      <c r="A202" s="8"/>
      <c r="B202" s="8"/>
      <c r="C202" s="7" t="s">
        <v>6</v>
      </c>
      <c r="D202" s="44" t="s">
        <v>91</v>
      </c>
      <c r="E202" s="7"/>
      <c r="F202" s="44" t="s">
        <v>90</v>
      </c>
      <c r="G202" s="7"/>
      <c r="H202" s="7">
        <v>1</v>
      </c>
      <c r="I202" s="7">
        <v>1.25</v>
      </c>
    </row>
    <row r="203" spans="1:9" ht="47.25">
      <c r="A203" s="8"/>
      <c r="B203" s="8"/>
      <c r="C203" s="7" t="s">
        <v>6</v>
      </c>
      <c r="D203" s="44" t="s">
        <v>428</v>
      </c>
      <c r="E203" s="7"/>
      <c r="F203" s="44" t="s">
        <v>90</v>
      </c>
      <c r="G203" s="7"/>
      <c r="H203" s="7">
        <v>1</v>
      </c>
      <c r="I203" s="7">
        <v>1.25</v>
      </c>
    </row>
    <row r="204" spans="1:9" ht="47.25">
      <c r="A204" s="8"/>
      <c r="B204" s="8"/>
      <c r="C204" s="7" t="s">
        <v>6</v>
      </c>
      <c r="D204" s="44" t="s">
        <v>429</v>
      </c>
      <c r="E204" s="7"/>
      <c r="F204" s="44" t="s">
        <v>90</v>
      </c>
      <c r="G204" s="7"/>
      <c r="H204" s="7">
        <v>1</v>
      </c>
      <c r="I204" s="7">
        <v>1.25</v>
      </c>
    </row>
    <row r="205" spans="1:9" ht="47.25">
      <c r="A205" s="8"/>
      <c r="B205" s="8"/>
      <c r="C205" s="7" t="s">
        <v>6</v>
      </c>
      <c r="D205" s="44" t="s">
        <v>430</v>
      </c>
      <c r="E205" s="7"/>
      <c r="F205" s="44" t="s">
        <v>90</v>
      </c>
      <c r="G205" s="7"/>
      <c r="H205" s="7">
        <v>1</v>
      </c>
      <c r="I205" s="7">
        <v>1.25</v>
      </c>
    </row>
    <row r="206" spans="1:9" ht="18.75">
      <c r="A206" s="8">
        <v>3</v>
      </c>
      <c r="B206" s="8" t="s">
        <v>333</v>
      </c>
      <c r="C206" s="60"/>
      <c r="D206" s="60"/>
      <c r="E206" s="60"/>
      <c r="F206" s="60"/>
      <c r="G206" s="7"/>
      <c r="H206" s="7"/>
      <c r="I206" s="7"/>
    </row>
    <row r="207" spans="1:9" ht="220.5">
      <c r="A207" s="8"/>
      <c r="B207" s="8"/>
      <c r="C207" s="7" t="s">
        <v>6</v>
      </c>
      <c r="D207" s="39" t="s">
        <v>394</v>
      </c>
      <c r="E207" s="39"/>
      <c r="F207" s="39" t="s">
        <v>314</v>
      </c>
      <c r="G207" s="7"/>
      <c r="H207" s="61">
        <v>7</v>
      </c>
      <c r="I207" s="61">
        <v>0.5</v>
      </c>
    </row>
    <row r="208" spans="1:9" ht="157.5">
      <c r="A208" s="8"/>
      <c r="B208" s="8"/>
      <c r="C208" s="7" t="s">
        <v>6</v>
      </c>
      <c r="D208" s="39" t="s">
        <v>395</v>
      </c>
      <c r="E208" s="39"/>
      <c r="F208" s="39" t="s">
        <v>315</v>
      </c>
      <c r="G208" s="7"/>
      <c r="H208" s="61">
        <v>7</v>
      </c>
      <c r="I208" s="61">
        <v>0.4</v>
      </c>
    </row>
    <row r="209" spans="1:9" ht="141.75">
      <c r="A209" s="8"/>
      <c r="B209" s="8"/>
      <c r="C209" s="7" t="s">
        <v>6</v>
      </c>
      <c r="D209" s="39" t="s">
        <v>396</v>
      </c>
      <c r="E209" s="39"/>
      <c r="F209" s="39" t="s">
        <v>316</v>
      </c>
      <c r="G209" s="7"/>
      <c r="H209" s="61">
        <v>7</v>
      </c>
      <c r="I209" s="61">
        <v>0.4</v>
      </c>
    </row>
    <row r="210" spans="1:9" ht="157.5">
      <c r="A210" s="8"/>
      <c r="B210" s="8"/>
      <c r="C210" s="7" t="s">
        <v>6</v>
      </c>
      <c r="D210" s="39" t="s">
        <v>397</v>
      </c>
      <c r="E210" s="39"/>
      <c r="F210" s="39" t="s">
        <v>317</v>
      </c>
      <c r="G210" s="7"/>
      <c r="H210" s="61">
        <v>7</v>
      </c>
      <c r="I210" s="61">
        <v>0.3</v>
      </c>
    </row>
    <row r="211" spans="1:9" ht="18.75">
      <c r="A211" s="8">
        <v>4</v>
      </c>
      <c r="B211" s="8" t="s">
        <v>334</v>
      </c>
      <c r="C211" s="53"/>
      <c r="D211" s="39"/>
      <c r="E211" s="39"/>
      <c r="F211" s="39"/>
      <c r="G211" s="7"/>
      <c r="H211" s="61">
        <v>7</v>
      </c>
      <c r="I211" s="61"/>
    </row>
    <row r="212" spans="1:9" ht="141.75">
      <c r="A212" s="8"/>
      <c r="B212" s="8"/>
      <c r="C212" s="7" t="s">
        <v>6</v>
      </c>
      <c r="D212" s="39" t="s">
        <v>398</v>
      </c>
      <c r="E212" s="39"/>
      <c r="F212" s="39" t="s">
        <v>318</v>
      </c>
      <c r="G212" s="7"/>
      <c r="H212" s="61">
        <v>7</v>
      </c>
      <c r="I212" s="61">
        <v>0.4</v>
      </c>
    </row>
    <row r="213" spans="1:9" ht="173.25">
      <c r="A213" s="8"/>
      <c r="B213" s="8"/>
      <c r="C213" s="7" t="s">
        <v>6</v>
      </c>
      <c r="D213" s="39" t="s">
        <v>399</v>
      </c>
      <c r="E213" s="39"/>
      <c r="F213" s="39" t="s">
        <v>319</v>
      </c>
      <c r="G213" s="7"/>
      <c r="H213" s="61">
        <v>7</v>
      </c>
      <c r="I213" s="61">
        <v>0.5</v>
      </c>
    </row>
    <row r="214" spans="1:9" ht="141.75">
      <c r="A214" s="8"/>
      <c r="B214" s="8"/>
      <c r="C214" s="7" t="s">
        <v>6</v>
      </c>
      <c r="D214" s="39" t="s">
        <v>400</v>
      </c>
      <c r="E214" s="39"/>
      <c r="F214" s="39" t="s">
        <v>320</v>
      </c>
      <c r="G214" s="7"/>
      <c r="H214" s="61">
        <v>7</v>
      </c>
      <c r="I214" s="61">
        <v>0.4</v>
      </c>
    </row>
    <row r="215" spans="1:9" ht="141.75">
      <c r="A215" s="8"/>
      <c r="B215" s="8"/>
      <c r="C215" s="7" t="s">
        <v>6</v>
      </c>
      <c r="D215" s="39" t="s">
        <v>401</v>
      </c>
      <c r="E215" s="39"/>
      <c r="F215" s="39" t="s">
        <v>321</v>
      </c>
      <c r="G215" s="7"/>
      <c r="H215" s="61">
        <v>3</v>
      </c>
      <c r="I215" s="61">
        <v>0.4</v>
      </c>
    </row>
    <row r="216" spans="1:9" ht="18.75">
      <c r="A216" s="8">
        <v>5</v>
      </c>
      <c r="B216" s="8" t="s">
        <v>335</v>
      </c>
      <c r="C216" s="53"/>
      <c r="D216" s="39"/>
      <c r="E216" s="39"/>
      <c r="F216" s="39"/>
      <c r="G216" s="7"/>
      <c r="H216" s="61">
        <v>7</v>
      </c>
      <c r="I216" s="61"/>
    </row>
    <row r="217" spans="1:9" ht="141.75">
      <c r="A217" s="8"/>
      <c r="B217" s="8"/>
      <c r="C217" s="7" t="s">
        <v>6</v>
      </c>
      <c r="D217" s="39" t="s">
        <v>402</v>
      </c>
      <c r="E217" s="39"/>
      <c r="F217" s="39" t="s">
        <v>322</v>
      </c>
      <c r="G217" s="7"/>
      <c r="H217" s="61">
        <v>3</v>
      </c>
      <c r="I217" s="61">
        <v>0.4</v>
      </c>
    </row>
    <row r="218" spans="1:9" ht="126">
      <c r="A218" s="8"/>
      <c r="B218" s="8"/>
      <c r="C218" s="7" t="s">
        <v>6</v>
      </c>
      <c r="D218" s="39" t="s">
        <v>403</v>
      </c>
      <c r="E218" s="39"/>
      <c r="F218" s="39" t="s">
        <v>323</v>
      </c>
      <c r="G218" s="7"/>
      <c r="H218" s="61">
        <v>3</v>
      </c>
      <c r="I218" s="61">
        <v>0.5</v>
      </c>
    </row>
    <row r="219" spans="1:9" ht="141.75">
      <c r="A219" s="8"/>
      <c r="B219" s="8"/>
      <c r="C219" s="7" t="s">
        <v>6</v>
      </c>
      <c r="D219" s="39" t="s">
        <v>404</v>
      </c>
      <c r="E219" s="39"/>
      <c r="F219" s="39" t="s">
        <v>324</v>
      </c>
      <c r="G219" s="7"/>
      <c r="H219" s="61">
        <v>3</v>
      </c>
      <c r="I219" s="61">
        <v>0.4</v>
      </c>
    </row>
    <row r="220" spans="1:9" ht="126">
      <c r="A220" s="8"/>
      <c r="B220" s="8"/>
      <c r="C220" s="7" t="s">
        <v>6</v>
      </c>
      <c r="D220" s="39" t="s">
        <v>405</v>
      </c>
      <c r="E220" s="39"/>
      <c r="F220" s="39" t="s">
        <v>325</v>
      </c>
      <c r="G220" s="7"/>
      <c r="H220" s="61">
        <v>3</v>
      </c>
      <c r="I220" s="61">
        <v>0.4</v>
      </c>
    </row>
    <row r="221" spans="1:9" ht="18.75">
      <c r="A221" s="8">
        <v>6</v>
      </c>
      <c r="B221" s="8" t="s">
        <v>336</v>
      </c>
      <c r="C221" s="53"/>
      <c r="D221" s="39"/>
      <c r="E221" s="39"/>
      <c r="F221" s="39"/>
      <c r="G221" s="7"/>
      <c r="H221" s="61"/>
      <c r="I221" s="61"/>
    </row>
    <row r="222" spans="1:9" ht="141.75">
      <c r="A222" s="8"/>
      <c r="B222" s="8"/>
      <c r="C222" s="7" t="s">
        <v>6</v>
      </c>
      <c r="D222" s="39" t="s">
        <v>406</v>
      </c>
      <c r="E222" s="39"/>
      <c r="F222" s="39" t="s">
        <v>326</v>
      </c>
      <c r="G222" s="7"/>
      <c r="H222" s="61">
        <v>3</v>
      </c>
      <c r="I222" s="61">
        <v>0.4</v>
      </c>
    </row>
    <row r="223" spans="1:9" ht="141.75">
      <c r="A223" s="8"/>
      <c r="B223" s="8"/>
      <c r="C223" s="7" t="s">
        <v>6</v>
      </c>
      <c r="D223" s="39" t="s">
        <v>407</v>
      </c>
      <c r="E223" s="39"/>
      <c r="F223" s="39" t="s">
        <v>327</v>
      </c>
      <c r="G223" s="7"/>
      <c r="H223" s="61">
        <v>3</v>
      </c>
      <c r="I223" s="61">
        <v>0.5</v>
      </c>
    </row>
    <row r="224" spans="1:9" ht="157.5">
      <c r="A224" s="8"/>
      <c r="B224" s="8"/>
      <c r="C224" s="7" t="s">
        <v>6</v>
      </c>
      <c r="D224" s="39" t="s">
        <v>408</v>
      </c>
      <c r="E224" s="39"/>
      <c r="F224" s="39" t="s">
        <v>328</v>
      </c>
      <c r="G224" s="7"/>
      <c r="H224" s="61">
        <v>7</v>
      </c>
      <c r="I224" s="61">
        <v>0.5</v>
      </c>
    </row>
    <row r="225" spans="1:9" ht="157.5">
      <c r="A225" s="8"/>
      <c r="B225" s="8"/>
      <c r="C225" s="7" t="s">
        <v>6</v>
      </c>
      <c r="D225" s="39" t="s">
        <v>409</v>
      </c>
      <c r="E225" s="39"/>
      <c r="F225" s="39" t="s">
        <v>329</v>
      </c>
      <c r="G225" s="7"/>
      <c r="H225" s="61">
        <v>7</v>
      </c>
      <c r="I225" s="61">
        <v>0.5</v>
      </c>
    </row>
    <row r="226" spans="1:9" ht="141.75">
      <c r="A226" s="8"/>
      <c r="B226" s="8"/>
      <c r="C226" s="7" t="s">
        <v>6</v>
      </c>
      <c r="D226" s="39" t="s">
        <v>410</v>
      </c>
      <c r="E226" s="39"/>
      <c r="F226" s="39" t="s">
        <v>330</v>
      </c>
      <c r="G226" s="7"/>
      <c r="H226" s="61">
        <v>7</v>
      </c>
      <c r="I226" s="61">
        <v>0.5</v>
      </c>
    </row>
    <row r="227" spans="1:9" ht="157.5">
      <c r="A227" s="8"/>
      <c r="B227" s="8"/>
      <c r="C227" s="7" t="s">
        <v>6</v>
      </c>
      <c r="D227" s="39" t="s">
        <v>411</v>
      </c>
      <c r="E227" s="39"/>
      <c r="F227" s="39" t="s">
        <v>414</v>
      </c>
      <c r="G227" s="7"/>
      <c r="H227" s="61">
        <v>7</v>
      </c>
      <c r="I227" s="61">
        <v>0.4</v>
      </c>
    </row>
    <row r="228" spans="1:9" ht="141.75">
      <c r="A228" s="8"/>
      <c r="B228" s="8"/>
      <c r="C228" s="7" t="s">
        <v>6</v>
      </c>
      <c r="D228" s="39" t="s">
        <v>412</v>
      </c>
      <c r="E228" s="39"/>
      <c r="F228" s="39" t="s">
        <v>331</v>
      </c>
      <c r="G228" s="7"/>
      <c r="H228" s="61">
        <v>7</v>
      </c>
      <c r="I228" s="61">
        <v>0.6</v>
      </c>
    </row>
    <row r="229" spans="1:9" ht="126">
      <c r="A229" s="8"/>
      <c r="B229" s="8"/>
      <c r="C229" s="7" t="s">
        <v>6</v>
      </c>
      <c r="D229" s="39" t="s">
        <v>413</v>
      </c>
      <c r="E229" s="39"/>
      <c r="F229" s="39" t="s">
        <v>332</v>
      </c>
      <c r="G229" s="7"/>
      <c r="H229" s="61">
        <v>7</v>
      </c>
      <c r="I229" s="61">
        <v>0.6</v>
      </c>
    </row>
    <row r="230" spans="1:9">
      <c r="A230" s="18"/>
      <c r="B230" s="19"/>
      <c r="C230" s="20"/>
      <c r="D230" s="21"/>
      <c r="E230" s="20"/>
      <c r="F230" s="21"/>
      <c r="G230" s="11" t="s">
        <v>18</v>
      </c>
      <c r="H230" s="11"/>
      <c r="I230" s="22">
        <f>I6+I44+I172+I194</f>
        <v>99.999999999999972</v>
      </c>
    </row>
    <row r="231" spans="1:9" ht="30.75" customHeight="1"/>
  </sheetData>
  <mergeCells count="4">
    <mergeCell ref="B6:H6"/>
    <mergeCell ref="B44:H44"/>
    <mergeCell ref="B172:H172"/>
    <mergeCell ref="B194:H194"/>
  </mergeCells>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E17" sqref="E17"/>
    </sheetView>
  </sheetViews>
  <sheetFormatPr defaultColWidth="11" defaultRowHeight="15.75"/>
  <cols>
    <col min="1" max="1" width="11" style="5"/>
    <col min="2" max="2" width="56.875" style="4" customWidth="1"/>
    <col min="3" max="16384" width="11" style="5"/>
  </cols>
  <sheetData>
    <row r="1" spans="1:2" ht="27.95" customHeight="1">
      <c r="A1" s="65" t="s">
        <v>15</v>
      </c>
      <c r="B1" s="65"/>
    </row>
    <row r="2" spans="1:2">
      <c r="A2" s="23">
        <v>1</v>
      </c>
      <c r="B2" s="28" t="s">
        <v>58</v>
      </c>
    </row>
    <row r="3" spans="1:2">
      <c r="A3" s="23">
        <v>2</v>
      </c>
      <c r="B3" s="28" t="s">
        <v>59</v>
      </c>
    </row>
    <row r="4" spans="1:2">
      <c r="A4" s="23">
        <v>3</v>
      </c>
      <c r="B4" s="40" t="s">
        <v>60</v>
      </c>
    </row>
    <row r="5" spans="1:2">
      <c r="A5" s="23">
        <v>4</v>
      </c>
      <c r="B5" s="28" t="s">
        <v>61</v>
      </c>
    </row>
    <row r="6" spans="1:2">
      <c r="A6" s="23">
        <v>5</v>
      </c>
      <c r="B6" s="28" t="s">
        <v>62</v>
      </c>
    </row>
    <row r="7" spans="1:2">
      <c r="A7" s="23">
        <v>6</v>
      </c>
      <c r="B7" s="40" t="s">
        <v>63</v>
      </c>
    </row>
    <row r="8" spans="1:2">
      <c r="A8" s="23">
        <v>7</v>
      </c>
      <c r="B8" s="28" t="s">
        <v>64</v>
      </c>
    </row>
  </sheetData>
  <mergeCells count="1">
    <mergeCell ref="A1:B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24</vt:i4>
      </vt:variant>
    </vt:vector>
  </HeadingPairs>
  <TitlesOfParts>
    <vt:vector size="26" baseType="lpstr">
      <vt:lpstr>Критерии оценки</vt:lpstr>
      <vt:lpstr>Перечень профессиональных задач</vt:lpstr>
      <vt:lpstr>'Критерии оценки'!_1livtg6qggri</vt:lpstr>
      <vt:lpstr>'Критерии оценки'!_27tkfxbkcv55</vt:lpstr>
      <vt:lpstr>'Критерии оценки'!_2bq3ttlknrz6</vt:lpstr>
      <vt:lpstr>'Критерии оценки'!_3v0ufveuzorm</vt:lpstr>
      <vt:lpstr>'Критерии оценки'!_4vee4zjgmgv1</vt:lpstr>
      <vt:lpstr>'Критерии оценки'!_7rslhrryyt06</vt:lpstr>
      <vt:lpstr>'Критерии оценки'!_89mx119h3rng</vt:lpstr>
      <vt:lpstr>'Критерии оценки'!_8zue4x2ncv59</vt:lpstr>
      <vt:lpstr>'Критерии оценки'!_9r3dh0tqvnny</vt:lpstr>
      <vt:lpstr>'Критерии оценки'!_azvco86an92c</vt:lpstr>
      <vt:lpstr>'Критерии оценки'!_bxq1pqgite3f</vt:lpstr>
      <vt:lpstr>'Критерии оценки'!_diwb194xsx7p</vt:lpstr>
      <vt:lpstr>'Критерии оценки'!_fjksklds0av7</vt:lpstr>
      <vt:lpstr>'Критерии оценки'!_h6d2rntjccnf</vt:lpstr>
      <vt:lpstr>'Критерии оценки'!_hbh1n7pi4ddo</vt:lpstr>
      <vt:lpstr>'Критерии оценки'!_k2sm3mz5y5h</vt:lpstr>
      <vt:lpstr>'Критерии оценки'!_kyeh999nsh04</vt:lpstr>
      <vt:lpstr>'Критерии оценки'!_qi1d8w5gw9</vt:lpstr>
      <vt:lpstr>'Критерии оценки'!_qwim4dh4azp5</vt:lpstr>
      <vt:lpstr>'Критерии оценки'!_upv8nqeyfd6t</vt:lpstr>
      <vt:lpstr>'Критерии оценки'!_w06yohdrsak8</vt:lpstr>
      <vt:lpstr>'Критерии оценки'!_x05zgbhykyhx</vt:lpstr>
      <vt:lpstr>'Критерии оценки'!_x9q8uxduj91w</vt:lpstr>
      <vt:lpstr>'Критерии оценки'!_xazgulhd8t9x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Microsoft Office</dc:creator>
  <cp:lastModifiedBy>Наталья Викторовна Кривоносова</cp:lastModifiedBy>
  <dcterms:created xsi:type="dcterms:W3CDTF">2022-11-09T22:53:43Z</dcterms:created>
  <dcterms:modified xsi:type="dcterms:W3CDTF">2026-09-28T15:19:12Z</dcterms:modified>
</cp:coreProperties>
</file>