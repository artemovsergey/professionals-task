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krivonosova.nv\Desktop\ИМЭЧ_Екат_ПРдБ_2026\ИМЭЧ_ПРдБ_2026\"/>
    </mc:Choice>
  </mc:AlternateContent>
  <xr:revisionPtr revIDLastSave="0" documentId="13_ncr:1_{9A0F4709-EFF2-4E59-9271-25ECB796CAE2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Информация о Чемпионате" sheetId="8" r:id="rId1"/>
    <sheet name="Общая инфраструктура" sheetId="4" r:id="rId2"/>
    <sheet name="Рабочее место конкурсантов" sheetId="1" r:id="rId3"/>
    <sheet name="Расходные материалы" sheetId="5" r:id="rId4"/>
    <sheet name="Личный инструмент конкурсанта" sheetId="7" r:id="rId5"/>
    <sheet name="Лист1" sheetId="9" r:id="rId6"/>
  </sheets>
  <definedNames>
    <definedName name="список">Лист1!$B$3:$B$8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5" i="4" l="1"/>
  <c r="G120" i="4"/>
  <c r="A4" i="7" l="1"/>
  <c r="A2" i="7"/>
  <c r="C14" i="5"/>
  <c r="C13" i="5"/>
  <c r="C12" i="5"/>
  <c r="C11" i="5"/>
  <c r="G10" i="5"/>
  <c r="E10" i="5"/>
  <c r="C10" i="5"/>
  <c r="G9" i="5"/>
  <c r="E9" i="5"/>
  <c r="C9" i="5"/>
  <c r="C8" i="5"/>
  <c r="D7" i="5"/>
  <c r="C6" i="5"/>
  <c r="A4" i="5"/>
  <c r="A2" i="5"/>
  <c r="C14" i="1"/>
  <c r="C13" i="1"/>
  <c r="C12" i="1"/>
  <c r="C11" i="1"/>
  <c r="G10" i="1"/>
  <c r="E10" i="1"/>
  <c r="C10" i="1"/>
  <c r="G9" i="1"/>
  <c r="E9" i="1"/>
  <c r="C9" i="1"/>
  <c r="C8" i="1"/>
  <c r="D7" i="1"/>
  <c r="C6" i="1"/>
  <c r="A4" i="1"/>
  <c r="A2" i="1"/>
  <c r="A2" i="4"/>
  <c r="A4" i="4"/>
  <c r="C10" i="4"/>
  <c r="D7" i="4"/>
  <c r="C6" i="4"/>
  <c r="C11" i="4"/>
  <c r="G9" i="4"/>
  <c r="E9" i="4"/>
  <c r="C9" i="4"/>
  <c r="G10" i="4"/>
  <c r="E10" i="4"/>
  <c r="C12" i="4"/>
  <c r="C13" i="4"/>
  <c r="C14" i="4"/>
  <c r="C8" i="4"/>
</calcChain>
</file>

<file path=xl/sharedStrings.xml><?xml version="1.0" encoding="utf-8"?>
<sst xmlns="http://schemas.openxmlformats.org/spreadsheetml/2006/main" count="845" uniqueCount="338">
  <si>
    <t>Итоговое количество</t>
  </si>
  <si>
    <t>Единица измерения</t>
  </si>
  <si>
    <t>Количество</t>
  </si>
  <si>
    <t>Вид</t>
  </si>
  <si>
    <t>Краткие (рамочные) технические характеристики</t>
  </si>
  <si>
    <t xml:space="preserve">Наименование </t>
  </si>
  <si>
    <t>№</t>
  </si>
  <si>
    <t xml:space="preserve">Требования к обеспечению зоны (коммуникации, площадь, сети, количество рабочих мест и др.): </t>
  </si>
  <si>
    <t>Рекомендации представителей индустрии (указывается конкретное оборудование)</t>
  </si>
  <si>
    <t>Основная информация о конкурсной площадке:</t>
  </si>
  <si>
    <t>Рабочее место Конкурсанта (расходные материалы по количеству конкурсантов)</t>
  </si>
  <si>
    <t>Расходные материалы на всех конкурсантов и экспертов</t>
  </si>
  <si>
    <t>Личный инструмент конкурсанта</t>
  </si>
  <si>
    <t xml:space="preserve">Примечание </t>
  </si>
  <si>
    <t>Комната Конкурсантов (оборудование, инструмент, мебель) (по количеству конкурсантов)</t>
  </si>
  <si>
    <t>Комната Экспертов (включая комнату Главного эксперта) (оборудование, инструмент, мебель) (по количеству экспертов)</t>
  </si>
  <si>
    <t xml:space="preserve">Количество рабочих мест: </t>
  </si>
  <si>
    <t>Даты проведения</t>
  </si>
  <si>
    <t>Главный эксперт</t>
  </si>
  <si>
    <t>Количество рабочих мест</t>
  </si>
  <si>
    <t>Электронная почта ГЭ</t>
  </si>
  <si>
    <t>Базовая организация расположения конкурсной площадки</t>
  </si>
  <si>
    <r>
      <t>Адрес базовой организации:</t>
    </r>
    <r>
      <rPr>
        <b/>
        <sz val="12"/>
        <color rgb="FFFF0000"/>
        <rFont val="Times New Roman"/>
        <family val="1"/>
        <charset val="204"/>
      </rPr>
      <t xml:space="preserve"> </t>
    </r>
  </si>
  <si>
    <t xml:space="preserve">Даты проведения: </t>
  </si>
  <si>
    <r>
      <t>Главный эксперт:</t>
    </r>
    <r>
      <rPr>
        <b/>
        <sz val="12"/>
        <color rgb="FFFF0000"/>
        <rFont val="Times New Roman"/>
        <family val="1"/>
        <charset val="204"/>
      </rPr>
      <t xml:space="preserve"> </t>
    </r>
  </si>
  <si>
    <t>Субъект Российской Федерации:</t>
  </si>
  <si>
    <t>Базовая организация расположения конкурсной площадки:</t>
  </si>
  <si>
    <t>Инфраструктурный лист для оснащения конкурсной площадки</t>
  </si>
  <si>
    <t>по компетенции</t>
  </si>
  <si>
    <t>Наименование этапа Чемпионата</t>
  </si>
  <si>
    <t>Адрес конкурсной площадки</t>
  </si>
  <si>
    <t>Электронная почта ТАП</t>
  </si>
  <si>
    <t xml:space="preserve">Технический администратор площадки: </t>
  </si>
  <si>
    <t>Рабочее место Конкурсанта (основное оборудование, вспомогательное оборудование, инструмент (по количеству рабочих мест))</t>
  </si>
  <si>
    <t>Моб.телефон ГЭ</t>
  </si>
  <si>
    <t>Моб.телефон ТАП</t>
  </si>
  <si>
    <t>Технический администратор площадки</t>
  </si>
  <si>
    <t>Количество экспертов (ЭН+ГЭ+ИЭ) + ТАП:</t>
  </si>
  <si>
    <t>ЭН - эксперт-наставник</t>
  </si>
  <si>
    <t>ГЭ - главный эксперт</t>
  </si>
  <si>
    <t>ИЭ - индустриальный эксперт</t>
  </si>
  <si>
    <t>ТАП - технический администратор площадки</t>
  </si>
  <si>
    <t>Субъект РФ (регион проведения)</t>
  </si>
  <si>
    <t xml:space="preserve">Количество конкурсантов </t>
  </si>
  <si>
    <t xml:space="preserve">Количество конкурсантов: </t>
  </si>
  <si>
    <t>Количество на одного участника</t>
  </si>
  <si>
    <t>Охрана труда</t>
  </si>
  <si>
    <t>Общая/брифинг зона конкурсной площадки (оборудование, инструмент, мебель)</t>
  </si>
  <si>
    <t xml:space="preserve">Количество на одного конкурсанта </t>
  </si>
  <si>
    <t>Телевизор</t>
  </si>
  <si>
    <t>Кулер для воды 19 л.</t>
  </si>
  <si>
    <t>Мебель</t>
  </si>
  <si>
    <t>Стул</t>
  </si>
  <si>
    <t>Cтул офисный со спинкой на ножках</t>
  </si>
  <si>
    <t>Мусорная корзина</t>
  </si>
  <si>
    <t>шт.</t>
  </si>
  <si>
    <t>Программное обеспечение</t>
  </si>
  <si>
    <t>Офисный пакет приложений</t>
  </si>
  <si>
    <t>IT-оборудование</t>
  </si>
  <si>
    <t>Запираемый шкафчик (локер)</t>
  </si>
  <si>
    <t xml:space="preserve">Стол </t>
  </si>
  <si>
    <t xml:space="preserve">Стул </t>
  </si>
  <si>
    <t>ПО</t>
  </si>
  <si>
    <t>Аптечка</t>
  </si>
  <si>
    <t>Огнетушитель</t>
  </si>
  <si>
    <t>Огнетушитель пенный</t>
  </si>
  <si>
    <t xml:space="preserve">Аптечка первой помощи универсальная </t>
  </si>
  <si>
    <t>500 листов/пачка</t>
  </si>
  <si>
    <t>пачка</t>
  </si>
  <si>
    <t>Степлер канцелярский</t>
  </si>
  <si>
    <t>До 50 листов, тип и размер скоб для степлера:
24/6, 24/8, 26/6</t>
  </si>
  <si>
    <t>Скобы к степлеру</t>
  </si>
  <si>
    <t>Папка-планшет с зажимом</t>
  </si>
  <si>
    <t>Ручка шариковая</t>
  </si>
  <si>
    <t>Папка-скоросшиватель</t>
  </si>
  <si>
    <t>Расходные материалы</t>
  </si>
  <si>
    <t>Мешки для мусора</t>
  </si>
  <si>
    <t>Ножницы канцелярские</t>
  </si>
  <si>
    <t>Материал - Сталь, Пластик; длина лезвий 21см.</t>
  </si>
  <si>
    <t>Скотч широкий</t>
  </si>
  <si>
    <t xml:space="preserve">Клейкая лента широкая, ширина 72 мм., намотка 55 м. </t>
  </si>
  <si>
    <t>упак.</t>
  </si>
  <si>
    <t>50 шт./упак</t>
  </si>
  <si>
    <t>Картридж для МФУ</t>
  </si>
  <si>
    <t>Объем:60 л
Длина:700 мм
Ширина:600 мм
Толщина:60 мкм
Количество в упаковке:10 шт.</t>
  </si>
  <si>
    <t xml:space="preserve">список </t>
  </si>
  <si>
    <t>СИЗ</t>
  </si>
  <si>
    <t>Специальная одежда и обувь</t>
  </si>
  <si>
    <t>привозит с собой</t>
  </si>
  <si>
    <t>Компетенция (основная/юниоры)</t>
  </si>
  <si>
    <t>Корзина для бумаг и мусора 10 литров, пластик, сетчатая, микс</t>
  </si>
  <si>
    <t xml:space="preserve">Тонер-картридж для МФУ Лазерное А4 </t>
  </si>
  <si>
    <t>Технический ассистент ТАП</t>
  </si>
  <si>
    <t>Количество экспертов (ГЭ+ЭН+ИЭ)+ТАП+Технический ассистент ТАП</t>
  </si>
  <si>
    <t xml:space="preserve">Оборудование и инструменты </t>
  </si>
  <si>
    <t>Итоговый (межрегиональный) этап Чемпионата по профессиональному мастерству "Профессионалы" 2026</t>
  </si>
  <si>
    <t>Свердловская область</t>
  </si>
  <si>
    <t>ГАПОУ СО "Екатеринбургский экономико-технологический колледж"</t>
  </si>
  <si>
    <t>г. Екатеринбург, ул. Проспект космонавтов 50</t>
  </si>
  <si>
    <t>Основная</t>
  </si>
  <si>
    <t>13.04.2026-19.04.2026</t>
  </si>
  <si>
    <t>Кривоносова Наталья Викторовна</t>
  </si>
  <si>
    <t>nvkrivonosowa@mail.ru</t>
  </si>
  <si>
    <t>+7-952-385-42-25</t>
  </si>
  <si>
    <t>Гайткулов Николай Валентинович</t>
  </si>
  <si>
    <t>kvozar@live.ru</t>
  </si>
  <si>
    <t>+7-953-055-09-80</t>
  </si>
  <si>
    <t>Площадь зоны: не менее 260,7 кв.м.</t>
  </si>
  <si>
    <t xml:space="preserve">Освещение: Допустимо верхнее искусственное освещение 500 люкс </t>
  </si>
  <si>
    <t xml:space="preserve">Интернет : беспроводной и проводной интернет	</t>
  </si>
  <si>
    <t>Электричество:  2 подключений общей инфраструктуры</t>
  </si>
  <si>
    <t>Контур заземления для электропитания и сети слаботочных подключений (при необходимости) не требуется</t>
  </si>
  <si>
    <t>Подведение/ отведение ГХВС (при необходимости): не требуется</t>
  </si>
  <si>
    <t>Подведение сжатого воздуха (при необходимости): не требуется</t>
  </si>
  <si>
    <t>Обеспечение приточно-вытяжной вентиляцией: не требуется</t>
  </si>
  <si>
    <t>Особые требования к площадке проведения (из правил компетенции) нет</t>
  </si>
  <si>
    <t>Интерактивный дисплей ViewBoard® 86" 4K IFP8650-2EP, сенсорный ввод Платформа внутреннего ПК процессор: ARM Cortex A73 dual-core 1,2 ГГц RAM: 2 ГБ DDR4 Внутренняя память: 16 ГБ</t>
  </si>
  <si>
    <t>Стенд для вертикального крепления панелей ViewBoard 55” - 98”, закрепленный на передвижной тележке (на колесиках) VB-STND-001</t>
  </si>
  <si>
    <t>Экран (в актовом зале)</t>
  </si>
  <si>
    <t>Экран (конкурсная площадка 2)</t>
  </si>
  <si>
    <t>Кронштейн для крепления интерактивного дисплея (конкурсная площадка 1)</t>
  </si>
  <si>
    <t>Processor Intel Core i7 8700, тактовая частота 3.2GHz, 6 ядер, 12 потоков, встроенная сетевая карта Ethernet 1000BASE-T, ОЗУ 32 GB, SSD 1 Tb</t>
  </si>
  <si>
    <t>Монитор TFT 23.8" Viewsonic VA2419-sh (LCD, Wide, 1920x1080, D-Sub, HDMI)</t>
  </si>
  <si>
    <t>Скорость подключения к локальному/беспроводному интернету - основной канал на скорости до 100 Мбит/с</t>
  </si>
  <si>
    <t>Локальная сеть: требуется/не требуется; скорость подключения 1000 Мбит/с; количество точек подключения 3</t>
  </si>
  <si>
    <t>Sanyo PLC-XR2200, LCD, 2200 ANSI лм, 500:1, TFT 1024x768</t>
  </si>
  <si>
    <t>Клавиатура и мышь</t>
  </si>
  <si>
    <t>Комплект Logitech Combo MK120 Black USB 920-002561</t>
  </si>
  <si>
    <t>Кабель питания</t>
  </si>
  <si>
    <t>Источник бесперебойного питания</t>
  </si>
  <si>
    <t>APC Easy UPS &lt;BV1000I-GR&gt; 1000VA</t>
  </si>
  <si>
    <t>Источник бесперебойного питания (конкурсаная площадка 1, 2)</t>
  </si>
  <si>
    <t>Processor Intel Core i7 8700, тактовая частота 3.2GHz, 6 ядер, 12 потоков, встроенная сетевая карта Ethernet 1000BASE-T, ОЗУ 32 GB, SSD 1 Tb, кабель питания</t>
  </si>
  <si>
    <t>ПО операционная система (Интернет-кафе)</t>
  </si>
  <si>
    <t xml:space="preserve">Microsoft Windows 11 Pro x64 Rus </t>
  </si>
  <si>
    <t>ПО операционная система (Интерактивной доски)</t>
  </si>
  <si>
    <t xml:space="preserve">Microsoft Windows 10 Pro x64 Rus </t>
  </si>
  <si>
    <t>Microsoft Office 2019 (Word, Excel, Power Point)</t>
  </si>
  <si>
    <t>SumatraPDF 3.5.2</t>
  </si>
  <si>
    <t>7-Zip 24.09</t>
  </si>
  <si>
    <t>Яндекс браузер</t>
  </si>
  <si>
    <t>Офисный стол</t>
  </si>
  <si>
    <t>Стол компьютерный 1000х600х800мм на 1 рабочее место с выдвижной полкой под клавиатуру, с полкой под системный блок, с заглушкой с отверстием для проводов, с комплектом заглушек с резьбой и резьбовыми опорами</t>
  </si>
  <si>
    <t>Офисный стол для ПК (конкурсаная площадка 1, 2)</t>
  </si>
  <si>
    <t>Компьютерный стул</t>
  </si>
  <si>
    <t>Кресло RALPH GTP CHR61, цвет серый</t>
  </si>
  <si>
    <t>Парта 1600х450х800мм, с передней вставкой, с комплектом заглушек с резьбой и резьбовыми опорами</t>
  </si>
  <si>
    <t>Шкаф</t>
  </si>
  <si>
    <t>Шкаф под документы 800*400*2000 мм, дуб сомона</t>
  </si>
  <si>
    <t>Напольный кулер</t>
  </si>
  <si>
    <t>Кулер для воды 19 л. (конкурсаная площадка 1, 2)</t>
  </si>
  <si>
    <t>ПО для просмотра документов в формате PDF (актовый зал, конкурсаная площадка 1, 2)</t>
  </si>
  <si>
    <t>ПО для архивации (актовый зал, конкурсаная площадка 1, 2)</t>
  </si>
  <si>
    <t>ПО веб-браузер (актовый зал, конкурсаная площадка 1, 2)</t>
  </si>
  <si>
    <t>Площадь зоны: 57,4</t>
  </si>
  <si>
    <t>Освещение: Допустимо верхнее искусственное освещение 500 люкс</t>
  </si>
  <si>
    <t>Интернет : нет</t>
  </si>
  <si>
    <t>Локальная сеть: не требуется</t>
  </si>
  <si>
    <t>Скорость подключения к локальному/беспроводному интернету -не требуется</t>
  </si>
  <si>
    <t>Электричество:  не требуется</t>
  </si>
  <si>
    <t>Контур заземления для электропитания и сети слаботочных подключений (при необходимости) : не требуется</t>
  </si>
  <si>
    <t>Покрытие пола: ламинат</t>
  </si>
  <si>
    <t>Подведение/ отведение ГХВС (при необходимости):не требуется</t>
  </si>
  <si>
    <t>Шкаф металлический на 8 ячеек</t>
  </si>
  <si>
    <t>Высокая</t>
  </si>
  <si>
    <t xml:space="preserve">Комната РГО (оборудование, инструмент, мебель) </t>
  </si>
  <si>
    <t>Моторизированный экран Draper Tagra 508/200” 300*401 Matt White</t>
  </si>
  <si>
    <t>Покрытие пола: ламинат на всю зону</t>
  </si>
  <si>
    <t>Экран моторизированный Baronet NTSC(3:4)305/120"(10)175*234 MW</t>
  </si>
  <si>
    <t>Площадь зоны: 34,8 кв.м.</t>
  </si>
  <si>
    <t>Интернет : беспроводной и проводной интернет</t>
  </si>
  <si>
    <t>Локальная сеть: скорость подключения 1000 Мбит/с; количество точек подключения 1</t>
  </si>
  <si>
    <t>Электричество:  5 подключений общей инфраструктуры</t>
  </si>
  <si>
    <t>Контур заземления для электропитания и сети слаботочных подключений (при необходимости) :не требуется</t>
  </si>
  <si>
    <t>Площадь зоны: не менее 72,8 кв.м.</t>
  </si>
  <si>
    <t>Освещение: Допустимо верхнее искусственное освещение 50 люкс</t>
  </si>
  <si>
    <t>Интернет : Подключение  ноутбуков к беспроводному интернету и проводному интернету</t>
  </si>
  <si>
    <t>Локальная сеть: скорость подключения 1000 Мбит/с; количество точек подключения 16</t>
  </si>
  <si>
    <t>Электричество:  17 подключений общей инфраструктуры</t>
  </si>
  <si>
    <t>Компьютерный монитор в комплекте с интерфейсным кабелем и кабелем питания</t>
  </si>
  <si>
    <t>Интерактивная доска с встроенным ПК для отсчета времени и брифинг зоны с интерфейсным кабелем и кабелем питания (конкурсная площадка 1)</t>
  </si>
  <si>
    <t>Проектор с интерфейсным кабелем и кабелем питания (в актовом зале)</t>
  </si>
  <si>
    <t>Проектор с интерфейсным кабелем и кабелем питания (конкурсная площадка 2)</t>
  </si>
  <si>
    <t>Персональный компьютер в сборе с кабелем питания (Интернет-кафе) (актовый зал, конкурсаная площадка 1, 2)</t>
  </si>
  <si>
    <t>Buro M8 для 2 мониторов</t>
  </si>
  <si>
    <t xml:space="preserve">Персональный компьютер в сборе  с кабелем питания для проверок работ, главного эксперта, технического эксперта </t>
  </si>
  <si>
    <t>Офисный стол для ПК</t>
  </si>
  <si>
    <t>Lexmark MX710de</t>
  </si>
  <si>
    <t>Сервер</t>
  </si>
  <si>
    <t>Samsung UE55NU7090U</t>
  </si>
  <si>
    <t>МФУ Лазерное А4   в комплекте с интерфейсным кабелем и кабелем питания</t>
  </si>
  <si>
    <t>Шкаф в комнате главного эксперта</t>
  </si>
  <si>
    <t>Шкаф под одежду 800х600х2000мм</t>
  </si>
  <si>
    <t xml:space="preserve">Шкаф </t>
  </si>
  <si>
    <t>Подставка под принтер</t>
  </si>
  <si>
    <t>Стол под МФУ 450х450х800мм, с полкой, с комплектом заглушек с резьбой и резьбовыми опорами</t>
  </si>
  <si>
    <t>Запасной картридж для МФУ</t>
  </si>
  <si>
    <t>для Lexmark MX710de</t>
  </si>
  <si>
    <t>Площадь зоны: 14,9 кв.м.</t>
  </si>
  <si>
    <t>Освещение: Допустимо верхнее искусственное освещение 500люкс</t>
  </si>
  <si>
    <t>Интернет : проводной</t>
  </si>
  <si>
    <t>Локальная сеть: требуется; скорость подключения 1000Мбит/с</t>
  </si>
  <si>
    <t>Контур заземления для электропитания и сети слаботочных подключений (при необходимости) : требуется</t>
  </si>
  <si>
    <t>Особые требования к площадке проведения (из правил компетенции) Нет</t>
  </si>
  <si>
    <t>Сервер в комплектации: Платформа Supermicro SSG-6049P-E1CR36L, Процессор 2x Intel(R) Xeon(R) Platinum 8280L CPU @ 2.70GHz 56 QPI, 4x HDD SSD 3.2 Tb SAS 12Gb/s, Оперативная память - 8 х 64 GB Kingston DDR4-2933 ECC Registered</t>
  </si>
  <si>
    <t>Консоль</t>
  </si>
  <si>
    <t>KVM-консоль ATEN &lt;CL1000MRG&gt; 1U выдвижная LCD 17"</t>
  </si>
  <si>
    <t>Кабель питания CEE 7/7 - IEC 320 C13</t>
  </si>
  <si>
    <t>Источник бесперебойного питания с мощностью 3000Ва</t>
  </si>
  <si>
    <t>Маршрутизатор</t>
  </si>
  <si>
    <t>Mikrotik &lt;CCR1016-12S-1S+&gt; Cloud Core Router (12SFP + 1SFP+, 1USB)</t>
  </si>
  <si>
    <t>Управляемый коммутатор</t>
  </si>
  <si>
    <t>Layer 2, 16 портов Ethernet стандарта 100BASE-T и/или 1000BASE-T</t>
  </si>
  <si>
    <t>Wi-Fi точка доступа</t>
  </si>
  <si>
    <t>Mikrotik &lt;RBcAPGi-5acD2nD&gt;</t>
  </si>
  <si>
    <t>Операционная система сервера баз данных</t>
  </si>
  <si>
    <t>CentOS Stream 8 4.18.0-553.6.1.el8.x86_64</t>
  </si>
  <si>
    <t xml:space="preserve">Операционная система сервера gogs  </t>
  </si>
  <si>
    <t xml:space="preserve">Debian GNU/Linux 12  </t>
  </si>
  <si>
    <t>ПО для управления версиями</t>
  </si>
  <si>
    <t>Gogs 2.39.5</t>
  </si>
  <si>
    <t>Ядро базы данных РЕД База Данных 5</t>
  </si>
  <si>
    <t>РЕД База Данных 5</t>
  </si>
  <si>
    <t xml:space="preserve">Ядро базы данных MySQL </t>
  </si>
  <si>
    <t>Ядро базы данных PostgreSQL</t>
  </si>
  <si>
    <t>ПО для виртуализации и управления ВМ</t>
  </si>
  <si>
    <t>Microsoft Windows 11</t>
  </si>
  <si>
    <t>РЕД ОС 8.0</t>
  </si>
  <si>
    <t>Atril 1.28.0</t>
  </si>
  <si>
    <t>Яндекс Браузер 24.12.4.1093</t>
  </si>
  <si>
    <t>ПО редактор диаграмм  для проверок работ</t>
  </si>
  <si>
    <t>drawio 29.3.0</t>
  </si>
  <si>
    <t>Git 2.48.1</t>
  </si>
  <si>
    <t>Sublime Text Build 4200</t>
  </si>
  <si>
    <t>Postman v7.33.1</t>
  </si>
  <si>
    <t>pgAdmin 4</t>
  </si>
  <si>
    <t>DBeaver Community 25.0.0</t>
  </si>
  <si>
    <t>MySQL Workbench 8.0.44</t>
  </si>
  <si>
    <t>ПО операционная система</t>
  </si>
  <si>
    <t>ПО для просмотра документов в формате PDF</t>
  </si>
  <si>
    <t xml:space="preserve">ПО для архивации </t>
  </si>
  <si>
    <t>ПО офисный пакет</t>
  </si>
  <si>
    <t>ПО веб-браузер</t>
  </si>
  <si>
    <t xml:space="preserve">ПО Git  </t>
  </si>
  <si>
    <t xml:space="preserve">Текстовый редактор </t>
  </si>
  <si>
    <t xml:space="preserve">Клиент для работы с API </t>
  </si>
  <si>
    <t>Среда для управления инфраструктурой SQL</t>
  </si>
  <si>
    <t>Площадь зоны: 115,6 кв.м.</t>
  </si>
  <si>
    <t xml:space="preserve">Интернет : Проводной интернет 	</t>
  </si>
  <si>
    <t>ViewSonic, DLP, Разрешение проектора 1920x1080, Яркость 5000 люменов
Контрастность 3 000 000:1</t>
  </si>
  <si>
    <t>Локальная сеть: требуется; скорость подключения 1000 Мбит/с</t>
  </si>
  <si>
    <t>Скорость подключения к локальному интернету - основной канал на скорости до 100 Мбит/с</t>
  </si>
  <si>
    <t>Электричество: 30 подключений к сети  220 Вольт на РМ конкурсантов</t>
  </si>
  <si>
    <t>Подведение/отведение ГХВС (при необходимости): нет</t>
  </si>
  <si>
    <t>Персональный компьютер в сборе в комплекте с кабелем питания</t>
  </si>
  <si>
    <t>ПО для архивации</t>
  </si>
  <si>
    <t>ПО редактор диаграмм</t>
  </si>
  <si>
    <t>ПО Git или аналог</t>
  </si>
  <si>
    <t>ПО .NET</t>
  </si>
  <si>
    <t>Программная платформа .NET 9.0, Python-3.11, Java SE 17 Development Kit включая следующие компоненты:
-Avalonia                                                                                                          -NET Framework Core                                                                                                                              -NET Framework Tools                                                                                                                              -NET Framework Design</t>
  </si>
  <si>
    <t>ПО среда разработки</t>
  </si>
  <si>
    <t>Набор средств разработки</t>
  </si>
  <si>
    <t>Библиотека</t>
  </si>
  <si>
    <t>Программное обеспечение Java SE 17 Development Kit</t>
  </si>
  <si>
    <t>Программное обеспечение ПО Eclipse IDE for Java Developers - 2025-03</t>
  </si>
  <si>
    <t>Программное обеспечение ПО OpenIDE 2025.2</t>
  </si>
  <si>
    <t xml:space="preserve"> - SQLAlchemy
 - JDBC (Java Database Connectivity)
 - ADO.NET
 - ODBC (Open Database Connectivity)
 - MySQL Connector/C++</t>
  </si>
  <si>
    <t>ORM-инструмент</t>
  </si>
  <si>
    <t>Программное обеспечение Hibernate ORM 7.1 series</t>
  </si>
  <si>
    <t xml:space="preserve">Программное обеспечение </t>
  </si>
  <si>
    <t>Среда для разработки графических интерфейсов</t>
  </si>
  <si>
    <t>Kivy Designer 2.3.1</t>
  </si>
  <si>
    <t>Qt Designer 6</t>
  </si>
  <si>
    <t>Текстовый редактор</t>
  </si>
  <si>
    <t>Клиент для работы с API</t>
  </si>
  <si>
    <t>Веб сервер</t>
  </si>
  <si>
    <t>Программное обеспечение для видеозахвата</t>
  </si>
  <si>
    <t>OBS Studio 31.0.1</t>
  </si>
  <si>
    <t>Программное обеспечение Dart SDK v3.7.0</t>
  </si>
  <si>
    <t>Программное обеспечение Flutter SDK v3.29.1</t>
  </si>
  <si>
    <t>Программное обеспечение Electron 35.0.1</t>
  </si>
  <si>
    <t>Программное обеспечение Vue.js v2.7.16</t>
  </si>
  <si>
    <t>Программное обеспечение Next.js v15.2.2</t>
  </si>
  <si>
    <t>Программное обеспечение Node.js v22.14.0</t>
  </si>
  <si>
    <t>Sublime Text Build 4200/4.1.8.0</t>
  </si>
  <si>
    <t>Postman v12.0.3</t>
  </si>
  <si>
    <t>pgAdmin 9.6</t>
  </si>
  <si>
    <t>DBeaver Community 26.0.0</t>
  </si>
  <si>
    <t>РЕД База Данных 5.1</t>
  </si>
  <si>
    <t>MySQL Workbench 8.0.46</t>
  </si>
  <si>
    <t>Apache 2.4.62</t>
  </si>
  <si>
    <t>Engrampa 1.28.2</t>
  </si>
  <si>
    <t>OnlyOffice 9.3.1.8</t>
  </si>
  <si>
    <t>Яндекс Браузер 26.3.1</t>
  </si>
  <si>
    <t>drawio 29.3.6</t>
  </si>
  <si>
    <t>Git 2.53.0</t>
  </si>
  <si>
    <t>Anaconda3 2026.03-0 включая Python-3.11, включая следующие компоненты:
 - Kivy; 
 - PyJNIus;
 - PyQt 6;
 - Pillow;
 - mariadb-connector;
 - postgresql.</t>
  </si>
  <si>
    <t>Программное обеспечение Eclipse 4.36.0 (2025-03) SDK с поддержкой JavaFX (e(fx)clipse)</t>
  </si>
  <si>
    <t>Ручка шариковая неавтоматическая синяя</t>
  </si>
  <si>
    <t>Критически важные характеристики позиции отсутствуют</t>
  </si>
  <si>
    <t>Клавиатура</t>
  </si>
  <si>
    <t>Проводная, подключение по USB</t>
  </si>
  <si>
    <t>штука</t>
  </si>
  <si>
    <t>Компьютерная мышь</t>
  </si>
  <si>
    <t>Наушники</t>
  </si>
  <si>
    <t>Проводные, разъём Jack 3,5</t>
  </si>
  <si>
    <t>Коврик для компьютерной мыши</t>
  </si>
  <si>
    <t xml:space="preserve">Персональный компьютер в сборе  с кабелем питания </t>
  </si>
  <si>
    <t>Processor AMD FX - 4100 Quad-Core  3.6 GHz, ОЗУ 4 Gb, кабель питания</t>
  </si>
  <si>
    <t>Samsung LS22C0KNY/Cl</t>
  </si>
  <si>
    <t>Проектор</t>
  </si>
  <si>
    <t>NEC NP18LP</t>
  </si>
  <si>
    <t>Программное обеспечениеVisual Studio Code v1.98.1 включая:
- C#
- C# Dev Kit
- C# Extensions
- C# XML Documentation Comments
- NuGet Package Manage
- .NET Extension Pack
- .NET MAUI
- Avalonia for VSCode
- Avalonia Templates
- Xml Complete
- Python
- Python Debugger
- Python Extension Pack
- Python Path
- Python Test Explorer for Visual Studio Code
- Qt for Python
- Python Development Extensions Pack
- Java Extension Pack
- Spring Boot Extension Pack
- Maven for Java
- Java
- Gradle for Java
- gradle-build-helper
- Live Server
- Path Intellisense
- npm Intellisense 
- Vue.js Extension Pack
- Angular Essentials
- Flutter
- React Native Tools
- React Extension Pack
- Node Essentials
- Next.js CLI</t>
  </si>
  <si>
    <t>Кронштейн для крепления двух мониторов (конкурсаная площадка 1, 2 интернет-кафе)</t>
  </si>
  <si>
    <t>Компьютерный монитор с интерфейсным кабелем и кабелем питания Интернет-кафе (конкурсаная площадка 1, 2, актовый зал)</t>
  </si>
  <si>
    <t>Клавиатура и мышь  (конкурсаная площадка 1, 2 (к интерактивной панели и интернет-кафе), актовый зал)</t>
  </si>
  <si>
    <t>Офисный стол (конкурсаная площадка 1, 2, актовый зал)</t>
  </si>
  <si>
    <t>Трибуна (актовый зал)</t>
  </si>
  <si>
    <t>упаковка</t>
  </si>
  <si>
    <t>Бумага для офисной техники</t>
  </si>
  <si>
    <t>1000 шт./упак</t>
  </si>
  <si>
    <t>Файл-вкладыш, плотный</t>
  </si>
  <si>
    <t>100 шт./упак</t>
  </si>
  <si>
    <t>Папка-планшет с зажимом и крышкой Attache Selection A4 черная</t>
  </si>
  <si>
    <t>Скоросшиватель пластиковый Attache</t>
  </si>
  <si>
    <t>Бумага для флипчартов</t>
  </si>
  <si>
    <t>Катридж для цветного МФУ</t>
  </si>
  <si>
    <t>Скрепки</t>
  </si>
  <si>
    <t>Набор маркеров (перманентные)</t>
  </si>
  <si>
    <t>4 шт в упаковке</t>
  </si>
  <si>
    <t>Стакан одноразовый для холодных напитков</t>
  </si>
  <si>
    <t>Стакан одноразовый термостойкий</t>
  </si>
  <si>
    <t>Бумага самоклеящаяся</t>
  </si>
  <si>
    <t>Вода 19 литров</t>
  </si>
  <si>
    <t>Рамки для сертификатов</t>
  </si>
  <si>
    <t>PostgreSQL 17.9  (Debian 17.9-0+deb13u1)</t>
  </si>
  <si>
    <t>mysql  Ver 8.4.8 for Linux on x86_64 (MySQL Community Server - GPL)</t>
  </si>
  <si>
    <t>Гипервизор ESXi 7 с управлением через vSphere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</si>
</sst>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color theme="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2"/>
      <color rgb="FFFF000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</font>
    <font>
      <sz val="1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 tint="0.249977111117893"/>
        <bgColor rgb="FF3A383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theme="0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20" fillId="0" borderId="0"/>
    <xf numFmtId="0" fontId="29" fillId="0" borderId="0"/>
  </cellStyleXfs>
  <cellXfs count="19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2" fillId="0" borderId="12" xfId="0" applyFont="1" applyBorder="1" applyAlignment="1">
      <alignment wrapText="1"/>
    </xf>
    <xf numFmtId="0" fontId="12" fillId="0" borderId="12" xfId="0" applyFont="1" applyBorder="1" applyAlignment="1">
      <alignment horizontal="right" wrapText="1"/>
    </xf>
    <xf numFmtId="0" fontId="13" fillId="0" borderId="12" xfId="2" applyFont="1" applyBorder="1" applyAlignment="1">
      <alignment horizontal="right" wrapText="1"/>
    </xf>
    <xf numFmtId="0" fontId="6" fillId="0" borderId="0" xfId="1" applyFont="1"/>
    <xf numFmtId="0" fontId="6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8" fillId="0" borderId="1" xfId="1" applyFont="1" applyBorder="1" applyAlignment="1">
      <alignment horizontal="left" vertical="top" wrapText="1"/>
    </xf>
    <xf numFmtId="0" fontId="8" fillId="0" borderId="8" xfId="1" applyFont="1" applyBorder="1" applyAlignment="1">
      <alignment horizontal="left" vertical="top" wrapText="1"/>
    </xf>
    <xf numFmtId="0" fontId="14" fillId="0" borderId="0" xfId="1" applyFont="1"/>
    <xf numFmtId="0" fontId="15" fillId="0" borderId="0" xfId="1" applyFont="1"/>
    <xf numFmtId="0" fontId="14" fillId="0" borderId="0" xfId="1" applyFont="1" applyAlignment="1">
      <alignment vertical="center" wrapText="1"/>
    </xf>
    <xf numFmtId="0" fontId="14" fillId="0" borderId="2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top"/>
    </xf>
    <xf numFmtId="0" fontId="14" fillId="0" borderId="12" xfId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5" borderId="12" xfId="0" applyFont="1" applyFill="1" applyBorder="1" applyAlignment="1">
      <alignment horizontal="center" vertical="top" wrapText="1"/>
    </xf>
    <xf numFmtId="0" fontId="19" fillId="5" borderId="12" xfId="0" applyFont="1" applyFill="1" applyBorder="1" applyAlignment="1">
      <alignment horizontal="center" vertical="center" wrapText="1"/>
    </xf>
    <xf numFmtId="0" fontId="19" fillId="0" borderId="12" xfId="1" applyFont="1" applyBorder="1" applyAlignment="1">
      <alignment horizontal="left" vertical="top" wrapText="1"/>
    </xf>
    <xf numFmtId="0" fontId="19" fillId="0" borderId="12" xfId="0" applyFont="1" applyBorder="1" applyAlignment="1">
      <alignment horizontal="left" vertical="top" wrapText="1"/>
    </xf>
    <xf numFmtId="0" fontId="19" fillId="0" borderId="11" xfId="1" applyFont="1" applyBorder="1" applyAlignment="1">
      <alignment horizontal="center" vertical="top"/>
    </xf>
    <xf numFmtId="0" fontId="14" fillId="0" borderId="2" xfId="1" applyFont="1" applyBorder="1" applyAlignment="1">
      <alignment horizontal="center" vertical="top" wrapText="1"/>
    </xf>
    <xf numFmtId="0" fontId="19" fillId="0" borderId="1" xfId="1" applyFont="1" applyBorder="1" applyAlignment="1">
      <alignment horizontal="left" vertical="top" wrapText="1"/>
    </xf>
    <xf numFmtId="0" fontId="14" fillId="0" borderId="23" xfId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wrapText="1"/>
    </xf>
    <xf numFmtId="0" fontId="19" fillId="0" borderId="12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top"/>
    </xf>
    <xf numFmtId="0" fontId="14" fillId="0" borderId="0" xfId="1" applyFont="1" applyAlignment="1">
      <alignment horizontal="center"/>
    </xf>
    <xf numFmtId="0" fontId="14" fillId="0" borderId="16" xfId="1" applyFont="1" applyBorder="1" applyAlignment="1">
      <alignment horizontal="left" vertical="top" wrapText="1"/>
    </xf>
    <xf numFmtId="0" fontId="14" fillId="0" borderId="16" xfId="1" applyFont="1" applyBorder="1" applyAlignment="1">
      <alignment vertical="top" wrapText="1"/>
    </xf>
    <xf numFmtId="0" fontId="19" fillId="0" borderId="12" xfId="0" applyFont="1" applyBorder="1" applyAlignment="1">
      <alignment vertical="top" wrapText="1"/>
    </xf>
    <xf numFmtId="0" fontId="14" fillId="0" borderId="12" xfId="1" applyFont="1" applyBorder="1" applyAlignment="1">
      <alignment horizontal="center" vertical="top" wrapText="1"/>
    </xf>
    <xf numFmtId="0" fontId="14" fillId="0" borderId="12" xfId="1" applyFont="1" applyBorder="1" applyAlignment="1">
      <alignment horizontal="center" vertical="center" wrapText="1"/>
    </xf>
    <xf numFmtId="0" fontId="14" fillId="0" borderId="14" xfId="4" applyFont="1" applyBorder="1" applyAlignment="1">
      <alignment vertical="center" wrapText="1"/>
    </xf>
    <xf numFmtId="0" fontId="14" fillId="0" borderId="12" xfId="4" applyFont="1" applyBorder="1" applyAlignment="1">
      <alignment horizontal="left" vertical="center" wrapText="1"/>
    </xf>
    <xf numFmtId="0" fontId="14" fillId="0" borderId="26" xfId="1" applyFont="1" applyBorder="1" applyAlignment="1">
      <alignment horizontal="center" vertical="center" wrapText="1"/>
    </xf>
    <xf numFmtId="0" fontId="19" fillId="0" borderId="12" xfId="0" applyFont="1" applyBorder="1" applyAlignment="1">
      <alignment wrapText="1"/>
    </xf>
    <xf numFmtId="0" fontId="14" fillId="0" borderId="12" xfId="1" applyFont="1" applyBorder="1" applyAlignment="1">
      <alignment vertical="top" wrapText="1"/>
    </xf>
    <xf numFmtId="0" fontId="14" fillId="0" borderId="14" xfId="1" applyFont="1" applyBorder="1" applyAlignment="1">
      <alignment vertical="top" wrapText="1"/>
    </xf>
    <xf numFmtId="0" fontId="14" fillId="0" borderId="14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left" vertical="top" wrapText="1"/>
    </xf>
    <xf numFmtId="0" fontId="14" fillId="0" borderId="12" xfId="1" applyFont="1" applyBorder="1" applyAlignment="1">
      <alignment horizontal="center" vertical="top"/>
    </xf>
    <xf numFmtId="0" fontId="19" fillId="0" borderId="12" xfId="1" applyFont="1" applyBorder="1" applyAlignment="1">
      <alignment horizontal="center" vertical="top" wrapText="1"/>
    </xf>
    <xf numFmtId="0" fontId="19" fillId="0" borderId="12" xfId="1" applyFont="1" applyBorder="1" applyAlignment="1">
      <alignment horizontal="center" vertical="top"/>
    </xf>
    <xf numFmtId="0" fontId="14" fillId="0" borderId="12" xfId="0" applyFont="1" applyBorder="1" applyAlignment="1">
      <alignment horizontal="left" wrapText="1"/>
    </xf>
    <xf numFmtId="0" fontId="14" fillId="0" borderId="12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/>
    </xf>
    <xf numFmtId="0" fontId="21" fillId="0" borderId="12" xfId="0" applyFont="1" applyBorder="1"/>
    <xf numFmtId="0" fontId="21" fillId="0" borderId="12" xfId="0" applyFont="1" applyBorder="1" applyAlignment="1">
      <alignment wrapText="1"/>
    </xf>
    <xf numFmtId="0" fontId="19" fillId="0" borderId="12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left" vertical="top"/>
    </xf>
    <xf numFmtId="0" fontId="14" fillId="0" borderId="1" xfId="1" applyFont="1" applyBorder="1" applyAlignment="1">
      <alignment horizontal="left" vertical="top"/>
    </xf>
    <xf numFmtId="0" fontId="19" fillId="0" borderId="12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4" fillId="0" borderId="0" xfId="1" applyFont="1"/>
    <xf numFmtId="0" fontId="14" fillId="0" borderId="0" xfId="1" applyFont="1" applyAlignment="1">
      <alignment horizontal="left" vertical="top" wrapText="1"/>
    </xf>
    <xf numFmtId="0" fontId="19" fillId="0" borderId="8" xfId="0" applyFont="1" applyBorder="1" applyAlignment="1">
      <alignment horizontal="center" vertical="center" wrapText="1"/>
    </xf>
    <xf numFmtId="0" fontId="14" fillId="0" borderId="12" xfId="1" applyFont="1" applyBorder="1" applyAlignment="1">
      <alignment horizontal="left" vertical="top"/>
    </xf>
    <xf numFmtId="0" fontId="14" fillId="0" borderId="5" xfId="1" applyFont="1" applyBorder="1" applyAlignment="1">
      <alignment horizontal="left" vertical="top" wrapText="1"/>
    </xf>
    <xf numFmtId="0" fontId="23" fillId="0" borderId="12" xfId="0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 wrapText="1"/>
    </xf>
    <xf numFmtId="0" fontId="14" fillId="0" borderId="12" xfId="1" applyFont="1" applyBorder="1"/>
    <xf numFmtId="0" fontId="19" fillId="0" borderId="11" xfId="0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 wrapText="1"/>
    </xf>
    <xf numFmtId="0" fontId="24" fillId="0" borderId="0" xfId="0" applyFont="1"/>
    <xf numFmtId="0" fontId="24" fillId="0" borderId="12" xfId="0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14" fillId="0" borderId="12" xfId="1" applyFont="1" applyBorder="1" applyAlignment="1">
      <alignment wrapText="1"/>
    </xf>
    <xf numFmtId="0" fontId="14" fillId="0" borderId="29" xfId="1" applyFont="1" applyBorder="1" applyAlignment="1">
      <alignment horizontal="left" vertical="center" wrapText="1"/>
    </xf>
    <xf numFmtId="0" fontId="14" fillId="0" borderId="30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2" fillId="0" borderId="12" xfId="0" quotePrefix="1" applyFont="1" applyBorder="1" applyAlignment="1">
      <alignment horizontal="right" wrapText="1"/>
    </xf>
    <xf numFmtId="0" fontId="19" fillId="5" borderId="16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top" wrapText="1"/>
    </xf>
    <xf numFmtId="0" fontId="22" fillId="0" borderId="12" xfId="0" applyFont="1" applyBorder="1" applyAlignment="1">
      <alignment vertical="center" wrapText="1"/>
    </xf>
    <xf numFmtId="0" fontId="21" fillId="0" borderId="12" xfId="0" applyFont="1" applyBorder="1" applyAlignment="1">
      <alignment vertical="top" wrapText="1"/>
    </xf>
    <xf numFmtId="0" fontId="19" fillId="0" borderId="8" xfId="1" applyFont="1" applyBorder="1" applyAlignment="1">
      <alignment horizontal="center" vertical="center"/>
    </xf>
    <xf numFmtId="0" fontId="14" fillId="0" borderId="12" xfId="0" applyFont="1" applyBorder="1" applyAlignment="1">
      <alignment horizontal="justify" vertical="center" wrapText="1"/>
    </xf>
    <xf numFmtId="0" fontId="27" fillId="0" borderId="12" xfId="0" applyFont="1" applyBorder="1" applyAlignment="1">
      <alignment wrapText="1"/>
    </xf>
    <xf numFmtId="0" fontId="14" fillId="0" borderId="5" xfId="1" applyFont="1" applyBorder="1" applyAlignment="1">
      <alignment horizontal="left" vertical="center" wrapText="1"/>
    </xf>
    <xf numFmtId="0" fontId="14" fillId="0" borderId="34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/>
    </xf>
    <xf numFmtId="0" fontId="28" fillId="0" borderId="12" xfId="0" applyFont="1" applyBorder="1" applyAlignment="1">
      <alignment horizontal="left" vertical="top" wrapText="1"/>
    </xf>
    <xf numFmtId="0" fontId="28" fillId="0" borderId="12" xfId="0" applyFont="1" applyBorder="1" applyAlignment="1">
      <alignment vertical="top" wrapText="1"/>
    </xf>
    <xf numFmtId="0" fontId="21" fillId="5" borderId="12" xfId="0" applyFont="1" applyFill="1" applyBorder="1" applyAlignment="1">
      <alignment horizontal="center" vertical="top" wrapText="1"/>
    </xf>
    <xf numFmtId="0" fontId="21" fillId="0" borderId="12" xfId="1" applyFont="1" applyBorder="1" applyAlignment="1">
      <alignment horizontal="center" vertical="center"/>
    </xf>
    <xf numFmtId="0" fontId="21" fillId="0" borderId="12" xfId="1" applyFont="1" applyBorder="1" applyAlignment="1">
      <alignment horizontal="left" vertical="top" wrapText="1"/>
    </xf>
    <xf numFmtId="0" fontId="28" fillId="0" borderId="12" xfId="0" applyFont="1" applyBorder="1" applyAlignment="1">
      <alignment horizontal="left" vertical="center" wrapText="1"/>
    </xf>
    <xf numFmtId="0" fontId="28" fillId="0" borderId="12" xfId="0" applyFont="1" applyBorder="1" applyAlignment="1">
      <alignment wrapText="1"/>
    </xf>
    <xf numFmtId="0" fontId="22" fillId="0" borderId="12" xfId="5" applyFont="1" applyBorder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19" fillId="0" borderId="3" xfId="1" applyFont="1" applyBorder="1" applyAlignment="1">
      <alignment horizontal="center" vertical="top"/>
    </xf>
    <xf numFmtId="0" fontId="25" fillId="0" borderId="12" xfId="0" applyFont="1" applyBorder="1" applyAlignment="1">
      <alignment vertical="top" wrapText="1"/>
    </xf>
    <xf numFmtId="0" fontId="21" fillId="5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8" fillId="0" borderId="16" xfId="0" applyFont="1" applyBorder="1" applyAlignment="1">
      <alignment wrapText="1"/>
    </xf>
    <xf numFmtId="0" fontId="28" fillId="0" borderId="12" xfId="0" applyFont="1" applyBorder="1"/>
    <xf numFmtId="0" fontId="21" fillId="0" borderId="14" xfId="0" applyFont="1" applyBorder="1" applyAlignment="1">
      <alignment vertical="center" wrapText="1"/>
    </xf>
    <xf numFmtId="0" fontId="30" fillId="0" borderId="1" xfId="1" applyFont="1" applyBorder="1" applyAlignment="1">
      <alignment horizontal="center" vertical="top"/>
    </xf>
    <xf numFmtId="0" fontId="26" fillId="0" borderId="2" xfId="0" applyFont="1" applyBorder="1" applyAlignment="1">
      <alignment horizontal="left" vertical="top" wrapText="1"/>
    </xf>
    <xf numFmtId="0" fontId="26" fillId="0" borderId="35" xfId="0" applyFont="1" applyBorder="1" applyAlignment="1">
      <alignment horizontal="center" vertical="center" wrapText="1"/>
    </xf>
    <xf numFmtId="0" fontId="22" fillId="0" borderId="35" xfId="1" applyFont="1" applyBorder="1" applyAlignment="1">
      <alignment horizontal="left" vertical="center" wrapText="1"/>
    </xf>
    <xf numFmtId="0" fontId="28" fillId="0" borderId="14" xfId="0" applyFont="1" applyBorder="1" applyAlignment="1">
      <alignment wrapText="1"/>
    </xf>
    <xf numFmtId="0" fontId="31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vertical="top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32" fillId="0" borderId="1" xfId="0" applyFont="1" applyBorder="1" applyAlignment="1">
      <alignment vertical="center" wrapText="1"/>
    </xf>
    <xf numFmtId="0" fontId="19" fillId="5" borderId="14" xfId="0" applyFont="1" applyFill="1" applyBorder="1" applyAlignment="1">
      <alignment horizontal="center" vertical="top" wrapText="1"/>
    </xf>
    <xf numFmtId="0" fontId="19" fillId="0" borderId="14" xfId="1" applyFont="1" applyBorder="1" applyAlignment="1">
      <alignment horizontal="center" vertical="center" wrapText="1"/>
    </xf>
    <xf numFmtId="0" fontId="19" fillId="0" borderId="26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left" vertical="top"/>
    </xf>
    <xf numFmtId="0" fontId="19" fillId="0" borderId="32" xfId="1" applyFont="1" applyBorder="1" applyAlignment="1">
      <alignment horizontal="left" vertical="top" wrapText="1"/>
    </xf>
    <xf numFmtId="0" fontId="19" fillId="0" borderId="0" xfId="1" applyFont="1"/>
    <xf numFmtId="0" fontId="19" fillId="0" borderId="21" xfId="1" applyFont="1" applyBorder="1"/>
    <xf numFmtId="0" fontId="19" fillId="0" borderId="0" xfId="1" applyFont="1" applyAlignment="1">
      <alignment horizontal="left" vertical="top" wrapText="1"/>
    </xf>
    <xf numFmtId="0" fontId="19" fillId="0" borderId="21" xfId="1" applyFont="1" applyBorder="1" applyAlignment="1">
      <alignment horizontal="left" vertical="top" wrapText="1"/>
    </xf>
    <xf numFmtId="0" fontId="19" fillId="0" borderId="33" xfId="1" applyFont="1" applyBorder="1" applyAlignment="1">
      <alignment horizontal="left" vertical="top" wrapText="1"/>
    </xf>
    <xf numFmtId="0" fontId="19" fillId="0" borderId="19" xfId="1" applyFont="1" applyBorder="1"/>
    <xf numFmtId="0" fontId="19" fillId="0" borderId="22" xfId="1" applyFont="1" applyBorder="1"/>
    <xf numFmtId="0" fontId="14" fillId="0" borderId="0" xfId="1" applyFont="1" applyAlignment="1">
      <alignment horizontal="left" vertical="top" wrapText="1"/>
    </xf>
    <xf numFmtId="0" fontId="14" fillId="0" borderId="21" xfId="1" applyFont="1" applyBorder="1" applyAlignment="1">
      <alignment horizontal="left" vertical="top" wrapText="1"/>
    </xf>
    <xf numFmtId="0" fontId="14" fillId="0" borderId="7" xfId="1" applyFont="1" applyBorder="1" applyAlignment="1">
      <alignment horizontal="left" vertical="top" wrapText="1"/>
    </xf>
    <xf numFmtId="0" fontId="14" fillId="0" borderId="0" xfId="1" applyFont="1"/>
    <xf numFmtId="0" fontId="14" fillId="0" borderId="21" xfId="1" applyFont="1" applyBorder="1"/>
    <xf numFmtId="0" fontId="19" fillId="0" borderId="7" xfId="1" applyFont="1" applyBorder="1" applyAlignment="1">
      <alignment horizontal="left" vertical="top" wrapText="1"/>
    </xf>
    <xf numFmtId="0" fontId="18" fillId="0" borderId="17" xfId="1" applyFont="1" applyBorder="1" applyAlignment="1">
      <alignment horizontal="left" vertical="top" wrapText="1"/>
    </xf>
    <xf numFmtId="0" fontId="19" fillId="0" borderId="18" xfId="1" applyFont="1" applyBorder="1"/>
    <xf numFmtId="0" fontId="19" fillId="0" borderId="20" xfId="1" applyFont="1" applyBorder="1"/>
    <xf numFmtId="0" fontId="5" fillId="0" borderId="0" xfId="1" applyFont="1" applyAlignment="1">
      <alignment horizontal="left" vertical="top" wrapText="1"/>
    </xf>
    <xf numFmtId="0" fontId="5" fillId="0" borderId="21" xfId="1" applyFont="1" applyBorder="1" applyAlignment="1">
      <alignment horizontal="left" vertical="top" wrapText="1"/>
    </xf>
    <xf numFmtId="0" fontId="14" fillId="3" borderId="23" xfId="1" applyFont="1" applyFill="1" applyBorder="1" applyAlignment="1">
      <alignment horizontal="center" vertical="center"/>
    </xf>
    <xf numFmtId="0" fontId="14" fillId="4" borderId="0" xfId="1" applyFont="1" applyFill="1" applyAlignment="1">
      <alignment horizontal="center"/>
    </xf>
    <xf numFmtId="0" fontId="14" fillId="4" borderId="15" xfId="1" applyFont="1" applyFill="1" applyBorder="1" applyAlignment="1">
      <alignment horizontal="center"/>
    </xf>
    <xf numFmtId="0" fontId="16" fillId="7" borderId="0" xfId="1" applyFont="1" applyFill="1" applyAlignment="1">
      <alignment horizontal="center"/>
    </xf>
    <xf numFmtId="0" fontId="16" fillId="6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5" fillId="0" borderId="21" xfId="1" applyFont="1" applyBorder="1" applyAlignment="1">
      <alignment horizontal="left"/>
    </xf>
    <xf numFmtId="0" fontId="17" fillId="6" borderId="0" xfId="1" applyFont="1" applyFill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14" fillId="0" borderId="12" xfId="1" applyFont="1" applyBorder="1"/>
    <xf numFmtId="0" fontId="14" fillId="2" borderId="4" xfId="1" applyFont="1" applyFill="1" applyBorder="1" applyAlignment="1">
      <alignment horizontal="center" vertical="center"/>
    </xf>
    <xf numFmtId="0" fontId="14" fillId="0" borderId="3" xfId="1" applyFont="1" applyBorder="1"/>
    <xf numFmtId="0" fontId="14" fillId="2" borderId="23" xfId="1" applyFont="1" applyFill="1" applyBorder="1" applyAlignment="1">
      <alignment horizontal="center" vertical="center"/>
    </xf>
    <xf numFmtId="0" fontId="19" fillId="8" borderId="13" xfId="0" applyFont="1" applyFill="1" applyBorder="1" applyAlignment="1">
      <alignment horizontal="center" vertical="center" wrapText="1"/>
    </xf>
    <xf numFmtId="0" fontId="19" fillId="8" borderId="27" xfId="0" applyFont="1" applyFill="1" applyBorder="1" applyAlignment="1">
      <alignment horizontal="center" vertical="center" wrapText="1"/>
    </xf>
    <xf numFmtId="0" fontId="19" fillId="8" borderId="25" xfId="0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/>
    </xf>
    <xf numFmtId="0" fontId="18" fillId="0" borderId="12" xfId="1" applyFont="1" applyBorder="1" applyAlignment="1">
      <alignment horizontal="left" vertical="top" wrapText="1"/>
    </xf>
    <xf numFmtId="0" fontId="18" fillId="0" borderId="26" xfId="1" applyFont="1" applyBorder="1" applyAlignment="1">
      <alignment horizontal="left" vertical="top" wrapText="1"/>
    </xf>
    <xf numFmtId="0" fontId="14" fillId="0" borderId="6" xfId="1" applyFont="1" applyBorder="1"/>
    <xf numFmtId="0" fontId="14" fillId="0" borderId="32" xfId="1" applyFont="1" applyBorder="1" applyAlignment="1">
      <alignment horizontal="left" vertical="top" wrapText="1"/>
    </xf>
    <xf numFmtId="0" fontId="14" fillId="0" borderId="33" xfId="1" applyFont="1" applyBorder="1" applyAlignment="1">
      <alignment horizontal="left" vertical="top" wrapText="1"/>
    </xf>
    <xf numFmtId="0" fontId="14" fillId="0" borderId="19" xfId="1" applyFont="1" applyBorder="1"/>
    <xf numFmtId="0" fontId="14" fillId="0" borderId="22" xfId="1" applyFont="1" applyBorder="1"/>
    <xf numFmtId="0" fontId="14" fillId="4" borderId="11" xfId="1" applyFont="1" applyFill="1" applyBorder="1" applyAlignment="1">
      <alignment horizontal="center"/>
    </xf>
    <xf numFmtId="0" fontId="14" fillId="4" borderId="10" xfId="1" applyFont="1" applyFill="1" applyBorder="1" applyAlignment="1">
      <alignment horizontal="center"/>
    </xf>
    <xf numFmtId="0" fontId="14" fillId="4" borderId="28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0" borderId="3" xfId="1" applyFont="1" applyBorder="1"/>
    <xf numFmtId="0" fontId="11" fillId="6" borderId="9" xfId="1" applyFont="1" applyFill="1" applyBorder="1" applyAlignment="1">
      <alignment horizontal="center" vertical="center" wrapText="1"/>
    </xf>
    <xf numFmtId="0" fontId="6" fillId="7" borderId="0" xfId="1" applyFont="1" applyFill="1" applyAlignment="1">
      <alignment horizontal="center"/>
    </xf>
    <xf numFmtId="0" fontId="6" fillId="6" borderId="0" xfId="1" applyFont="1" applyFill="1" applyAlignment="1">
      <alignment horizontal="center" vertical="center" wrapText="1"/>
    </xf>
  </cellXfs>
  <cellStyles count="6">
    <cellStyle name="Гиперссылка" xfId="2" builtinId="8"/>
    <cellStyle name="Денежный 2" xfId="3" xr:uid="{00000000-0005-0000-0000-000001000000}"/>
    <cellStyle name="Обычный" xfId="0" builtinId="0"/>
    <cellStyle name="Обычный 2" xfId="1" xr:uid="{00000000-0005-0000-0000-000003000000}"/>
    <cellStyle name="Обычный 3" xfId="4" xr:uid="{00000000-0005-0000-0000-000004000000}"/>
    <cellStyle name="Обычный 4" xfId="5" xr:uid="{9CC6E703-97B0-4B58-A79D-4FD22BE7C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"/>
  <sheetViews>
    <sheetView workbookViewId="0">
      <selection activeCell="B17" sqref="B17"/>
    </sheetView>
  </sheetViews>
  <sheetFormatPr defaultRowHeight="18.75" x14ac:dyDescent="0.3"/>
  <cols>
    <col min="1" max="1" width="52.140625" style="5" customWidth="1"/>
    <col min="2" max="2" width="90.5703125" style="6" customWidth="1"/>
  </cols>
  <sheetData>
    <row r="2" spans="1:2" x14ac:dyDescent="0.3">
      <c r="B2" s="5"/>
    </row>
    <row r="3" spans="1:2" x14ac:dyDescent="0.3">
      <c r="A3" s="7" t="s">
        <v>89</v>
      </c>
      <c r="B3" s="8" t="s">
        <v>99</v>
      </c>
    </row>
    <row r="4" spans="1:2" ht="39.75" customHeight="1" x14ac:dyDescent="0.3">
      <c r="A4" s="7" t="s">
        <v>29</v>
      </c>
      <c r="B4" s="8" t="s">
        <v>95</v>
      </c>
    </row>
    <row r="5" spans="1:2" x14ac:dyDescent="0.3">
      <c r="A5" s="7" t="s">
        <v>42</v>
      </c>
      <c r="B5" s="8" t="s">
        <v>96</v>
      </c>
    </row>
    <row r="6" spans="1:2" ht="37.5" x14ac:dyDescent="0.3">
      <c r="A6" s="7" t="s">
        <v>21</v>
      </c>
      <c r="B6" s="8" t="s">
        <v>97</v>
      </c>
    </row>
    <row r="7" spans="1:2" x14ac:dyDescent="0.3">
      <c r="A7" s="7" t="s">
        <v>30</v>
      </c>
      <c r="B7" s="8" t="s">
        <v>98</v>
      </c>
    </row>
    <row r="8" spans="1:2" x14ac:dyDescent="0.3">
      <c r="A8" s="7" t="s">
        <v>17</v>
      </c>
      <c r="B8" s="8" t="s">
        <v>100</v>
      </c>
    </row>
    <row r="9" spans="1:2" x14ac:dyDescent="0.3">
      <c r="A9" s="7" t="s">
        <v>18</v>
      </c>
      <c r="B9" s="8" t="s">
        <v>101</v>
      </c>
    </row>
    <row r="10" spans="1:2" x14ac:dyDescent="0.3">
      <c r="A10" s="7" t="s">
        <v>20</v>
      </c>
      <c r="B10" s="9" t="s">
        <v>102</v>
      </c>
    </row>
    <row r="11" spans="1:2" x14ac:dyDescent="0.3">
      <c r="A11" s="7" t="s">
        <v>34</v>
      </c>
      <c r="B11" s="8" t="s">
        <v>103</v>
      </c>
    </row>
    <row r="12" spans="1:2" ht="18" customHeight="1" x14ac:dyDescent="0.3">
      <c r="A12" s="7" t="s">
        <v>36</v>
      </c>
      <c r="B12" s="8" t="s">
        <v>104</v>
      </c>
    </row>
    <row r="13" spans="1:2" x14ac:dyDescent="0.3">
      <c r="A13" s="7" t="s">
        <v>31</v>
      </c>
      <c r="B13" s="9" t="s">
        <v>105</v>
      </c>
    </row>
    <row r="14" spans="1:2" x14ac:dyDescent="0.3">
      <c r="A14" s="7" t="s">
        <v>35</v>
      </c>
      <c r="B14" s="99" t="s">
        <v>106</v>
      </c>
    </row>
    <row r="15" spans="1:2" x14ac:dyDescent="0.3">
      <c r="A15" s="7" t="s">
        <v>43</v>
      </c>
      <c r="B15" s="8">
        <v>30</v>
      </c>
    </row>
    <row r="16" spans="1:2" x14ac:dyDescent="0.3">
      <c r="A16" s="7" t="s">
        <v>19</v>
      </c>
      <c r="B16" s="8">
        <v>30</v>
      </c>
    </row>
    <row r="17" spans="1:2" ht="56.25" x14ac:dyDescent="0.3">
      <c r="A17" s="7" t="s">
        <v>93</v>
      </c>
      <c r="B17" s="8"/>
    </row>
    <row r="20" spans="1:2" x14ac:dyDescent="0.3">
      <c r="A20" s="5" t="s">
        <v>38</v>
      </c>
    </row>
    <row r="21" spans="1:2" x14ac:dyDescent="0.3">
      <c r="A21" s="5" t="s">
        <v>39</v>
      </c>
    </row>
    <row r="22" spans="1:2" x14ac:dyDescent="0.3">
      <c r="A22" s="5" t="s">
        <v>40</v>
      </c>
    </row>
    <row r="23" spans="1:2" ht="37.5" x14ac:dyDescent="0.3">
      <c r="A23" s="5" t="s">
        <v>41</v>
      </c>
    </row>
    <row r="24" spans="1:2" x14ac:dyDescent="0.3">
      <c r="A24" s="5" t="s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4"/>
  <sheetViews>
    <sheetView topLeftCell="A151" zoomScale="85" zoomScaleNormal="85" workbookViewId="0">
      <selection activeCell="C163" sqref="C163"/>
    </sheetView>
  </sheetViews>
  <sheetFormatPr defaultColWidth="14.42578125" defaultRowHeight="15" customHeight="1" x14ac:dyDescent="0.25"/>
  <cols>
    <col min="1" max="1" width="5.140625" style="15" customWidth="1"/>
    <col min="2" max="2" width="43.42578125" style="15" customWidth="1"/>
    <col min="3" max="3" width="40.7109375" style="15" customWidth="1"/>
    <col min="4" max="4" width="22" style="38" customWidth="1"/>
    <col min="5" max="5" width="15.42578125" style="15" customWidth="1"/>
    <col min="6" max="6" width="19.7109375" style="15" bestFit="1" customWidth="1"/>
    <col min="7" max="7" width="14.42578125" style="15" customWidth="1"/>
    <col min="8" max="8" width="25" style="15" bestFit="1" customWidth="1"/>
    <col min="9" max="10" width="8.7109375" style="16" customWidth="1"/>
    <col min="11" max="16384" width="14.42578125" style="16"/>
  </cols>
  <sheetData>
    <row r="1" spans="1:9" ht="15.75" x14ac:dyDescent="0.25">
      <c r="A1" s="167" t="s">
        <v>27</v>
      </c>
      <c r="B1" s="167"/>
      <c r="C1" s="167"/>
      <c r="D1" s="167"/>
      <c r="E1" s="167"/>
      <c r="F1" s="167"/>
      <c r="G1" s="167"/>
      <c r="H1" s="167"/>
    </row>
    <row r="2" spans="1:9" ht="21" customHeight="1" x14ac:dyDescent="0.25">
      <c r="A2" s="168" t="str">
        <f>'Информация о Чемпионате'!B4</f>
        <v>Итоговый (межрегиональный) этап Чемпионата по профессиональному мастерству "Профессионалы" 2026</v>
      </c>
      <c r="B2" s="168"/>
      <c r="C2" s="168"/>
      <c r="D2" s="168"/>
      <c r="E2" s="168"/>
      <c r="F2" s="168"/>
      <c r="G2" s="168"/>
      <c r="H2" s="168"/>
      <c r="I2" s="17"/>
    </row>
    <row r="3" spans="1:9" ht="15.75" x14ac:dyDescent="0.25">
      <c r="A3" s="167" t="s">
        <v>28</v>
      </c>
      <c r="B3" s="167"/>
      <c r="C3" s="167"/>
      <c r="D3" s="167"/>
      <c r="E3" s="167"/>
      <c r="F3" s="167"/>
      <c r="G3" s="167"/>
      <c r="H3" s="167"/>
    </row>
    <row r="4" spans="1:9" ht="22.5" customHeight="1" x14ac:dyDescent="0.25">
      <c r="A4" s="171" t="str">
        <f>'Информация о Чемпионате'!B3</f>
        <v>Основная</v>
      </c>
      <c r="B4" s="171"/>
      <c r="C4" s="171"/>
      <c r="D4" s="171"/>
      <c r="E4" s="171"/>
      <c r="F4" s="171"/>
      <c r="G4" s="171"/>
      <c r="H4" s="171"/>
    </row>
    <row r="5" spans="1:9" ht="15.75" x14ac:dyDescent="0.25">
      <c r="A5" s="162" t="s">
        <v>9</v>
      </c>
      <c r="B5" s="156"/>
      <c r="C5" s="156"/>
      <c r="D5" s="156"/>
      <c r="E5" s="156"/>
      <c r="F5" s="156"/>
      <c r="G5" s="156"/>
      <c r="H5" s="157"/>
    </row>
    <row r="6" spans="1:9" ht="15.75" customHeight="1" x14ac:dyDescent="0.25">
      <c r="A6" s="162" t="s">
        <v>25</v>
      </c>
      <c r="B6" s="162"/>
      <c r="C6" s="169" t="str">
        <f>'Информация о Чемпионате'!B5</f>
        <v>Свердловская область</v>
      </c>
      <c r="D6" s="169"/>
      <c r="E6" s="169"/>
      <c r="F6" s="169"/>
      <c r="G6" s="169"/>
      <c r="H6" s="170"/>
    </row>
    <row r="7" spans="1:9" ht="15.75" customHeight="1" x14ac:dyDescent="0.25">
      <c r="A7" s="162" t="s">
        <v>26</v>
      </c>
      <c r="B7" s="162"/>
      <c r="C7" s="162"/>
      <c r="D7" s="169" t="str">
        <f>'Информация о Чемпионате'!B6</f>
        <v>ГАПОУ СО "Екатеринбургский экономико-технологический колледж"</v>
      </c>
      <c r="E7" s="169"/>
      <c r="F7" s="169"/>
      <c r="G7" s="169"/>
      <c r="H7" s="170"/>
    </row>
    <row r="8" spans="1:9" ht="15.75" customHeight="1" x14ac:dyDescent="0.25">
      <c r="A8" s="162" t="s">
        <v>22</v>
      </c>
      <c r="B8" s="162"/>
      <c r="C8" s="162" t="str">
        <f>'Информация о Чемпионате'!B7</f>
        <v>г. Екатеринбург, ул. Проспект космонавтов 50</v>
      </c>
      <c r="D8" s="162"/>
      <c r="E8" s="162"/>
      <c r="F8" s="162"/>
      <c r="G8" s="162"/>
      <c r="H8" s="163"/>
    </row>
    <row r="9" spans="1:9" ht="15.75" customHeight="1" x14ac:dyDescent="0.25">
      <c r="A9" s="162" t="s">
        <v>24</v>
      </c>
      <c r="B9" s="162"/>
      <c r="C9" s="162" t="str">
        <f>'Информация о Чемпионате'!B9</f>
        <v>Кривоносова Наталья Викторовна</v>
      </c>
      <c r="D9" s="162"/>
      <c r="E9" s="162" t="str">
        <f>'Информация о Чемпионате'!B10</f>
        <v>nvkrivonosowa@mail.ru</v>
      </c>
      <c r="F9" s="162"/>
      <c r="G9" s="162" t="str">
        <f>'Информация о Чемпионате'!B11</f>
        <v>+7-952-385-42-25</v>
      </c>
      <c r="H9" s="163"/>
    </row>
    <row r="10" spans="1:9" ht="15.75" customHeight="1" x14ac:dyDescent="0.25">
      <c r="A10" s="162" t="s">
        <v>32</v>
      </c>
      <c r="B10" s="162"/>
      <c r="C10" s="162" t="str">
        <f>'Информация о Чемпионате'!B12</f>
        <v>Гайткулов Николай Валентинович</v>
      </c>
      <c r="D10" s="162"/>
      <c r="E10" s="162" t="str">
        <f>'Информация о Чемпионате'!B13</f>
        <v>kvozar@live.ru</v>
      </c>
      <c r="F10" s="162"/>
      <c r="G10" s="162" t="str">
        <f>'Информация о Чемпионате'!B14</f>
        <v>+7-953-055-09-80</v>
      </c>
      <c r="H10" s="163"/>
    </row>
    <row r="11" spans="1:9" ht="15.75" customHeight="1" x14ac:dyDescent="0.25">
      <c r="A11" s="162" t="s">
        <v>37</v>
      </c>
      <c r="B11" s="162"/>
      <c r="C11" s="162">
        <f>'Информация о Чемпионате'!B17</f>
        <v>0</v>
      </c>
      <c r="D11" s="162"/>
      <c r="E11" s="162"/>
      <c r="F11" s="162"/>
      <c r="G11" s="162"/>
      <c r="H11" s="163"/>
    </row>
    <row r="12" spans="1:9" ht="15.75" customHeight="1" x14ac:dyDescent="0.25">
      <c r="A12" s="162" t="s">
        <v>44</v>
      </c>
      <c r="B12" s="162"/>
      <c r="C12" s="162">
        <f>'Информация о Чемпионате'!B15</f>
        <v>30</v>
      </c>
      <c r="D12" s="162"/>
      <c r="E12" s="162"/>
      <c r="F12" s="162"/>
      <c r="G12" s="162"/>
      <c r="H12" s="163"/>
    </row>
    <row r="13" spans="1:9" ht="15.75" customHeight="1" x14ac:dyDescent="0.25">
      <c r="A13" s="162" t="s">
        <v>16</v>
      </c>
      <c r="B13" s="162"/>
      <c r="C13" s="162">
        <f>'Информация о Чемпионате'!B16</f>
        <v>30</v>
      </c>
      <c r="D13" s="162"/>
      <c r="E13" s="162"/>
      <c r="F13" s="162"/>
      <c r="G13" s="162"/>
      <c r="H13" s="163"/>
    </row>
    <row r="14" spans="1:9" ht="15.75" customHeight="1" x14ac:dyDescent="0.25">
      <c r="A14" s="162" t="s">
        <v>23</v>
      </c>
      <c r="B14" s="162"/>
      <c r="C14" s="162" t="str">
        <f>'Информация о Чемпионате'!B8</f>
        <v>13.04.2026-19.04.2026</v>
      </c>
      <c r="D14" s="162"/>
      <c r="E14" s="162"/>
      <c r="F14" s="162"/>
      <c r="G14" s="162"/>
      <c r="H14" s="163"/>
    </row>
    <row r="15" spans="1:9" ht="15.75" x14ac:dyDescent="0.25">
      <c r="A15" s="164" t="s">
        <v>47</v>
      </c>
      <c r="B15" s="165"/>
      <c r="C15" s="165"/>
      <c r="D15" s="165"/>
      <c r="E15" s="165"/>
      <c r="F15" s="165"/>
      <c r="G15" s="165"/>
      <c r="H15" s="166"/>
    </row>
    <row r="16" spans="1:9" ht="15.75" x14ac:dyDescent="0.25">
      <c r="A16" s="159" t="s">
        <v>7</v>
      </c>
      <c r="B16" s="160"/>
      <c r="C16" s="160"/>
      <c r="D16" s="160"/>
      <c r="E16" s="160"/>
      <c r="F16" s="160"/>
      <c r="G16" s="160"/>
      <c r="H16" s="161"/>
    </row>
    <row r="17" spans="1:8" ht="15.75" x14ac:dyDescent="0.25">
      <c r="A17" s="158" t="s">
        <v>107</v>
      </c>
      <c r="B17" s="146"/>
      <c r="C17" s="146"/>
      <c r="D17" s="146"/>
      <c r="E17" s="146"/>
      <c r="F17" s="146"/>
      <c r="G17" s="146"/>
      <c r="H17" s="147"/>
    </row>
    <row r="18" spans="1:8" ht="15.75" x14ac:dyDescent="0.25">
      <c r="A18" s="158" t="s">
        <v>108</v>
      </c>
      <c r="B18" s="146"/>
      <c r="C18" s="146"/>
      <c r="D18" s="146"/>
      <c r="E18" s="146"/>
      <c r="F18" s="146"/>
      <c r="G18" s="146"/>
      <c r="H18" s="147"/>
    </row>
    <row r="19" spans="1:8" ht="15.75" x14ac:dyDescent="0.25">
      <c r="A19" s="158" t="s">
        <v>109</v>
      </c>
      <c r="B19" s="146"/>
      <c r="C19" s="146"/>
      <c r="D19" s="146"/>
      <c r="E19" s="146"/>
      <c r="F19" s="146"/>
      <c r="G19" s="146"/>
      <c r="H19" s="147"/>
    </row>
    <row r="20" spans="1:8" ht="15.75" x14ac:dyDescent="0.25">
      <c r="A20" s="155" t="s">
        <v>124</v>
      </c>
      <c r="B20" s="153"/>
      <c r="C20" s="153"/>
      <c r="D20" s="153"/>
      <c r="E20" s="153"/>
      <c r="F20" s="153"/>
      <c r="G20" s="153"/>
      <c r="H20" s="154"/>
    </row>
    <row r="21" spans="1:8" ht="15.75" x14ac:dyDescent="0.25">
      <c r="A21" s="155" t="s">
        <v>123</v>
      </c>
      <c r="B21" s="153"/>
      <c r="C21" s="153"/>
      <c r="D21" s="153"/>
      <c r="E21" s="153"/>
      <c r="F21" s="153"/>
      <c r="G21" s="153"/>
      <c r="H21" s="154"/>
    </row>
    <row r="22" spans="1:8" ht="15.75" x14ac:dyDescent="0.25">
      <c r="A22" s="158" t="s">
        <v>110</v>
      </c>
      <c r="B22" s="148"/>
      <c r="C22" s="148"/>
      <c r="D22" s="148"/>
      <c r="E22" s="148"/>
      <c r="F22" s="148"/>
      <c r="G22" s="148"/>
      <c r="H22" s="149"/>
    </row>
    <row r="23" spans="1:8" ht="15" customHeight="1" x14ac:dyDescent="0.25">
      <c r="A23" s="158" t="s">
        <v>111</v>
      </c>
      <c r="B23" s="146"/>
      <c r="C23" s="146"/>
      <c r="D23" s="146"/>
      <c r="E23" s="146"/>
      <c r="F23" s="146"/>
      <c r="G23" s="146"/>
      <c r="H23" s="147"/>
    </row>
    <row r="24" spans="1:8" ht="15.75" x14ac:dyDescent="0.25">
      <c r="A24" s="155" t="s">
        <v>167</v>
      </c>
      <c r="B24" s="156"/>
      <c r="C24" s="156"/>
      <c r="D24" s="156"/>
      <c r="E24" s="156"/>
      <c r="F24" s="156"/>
      <c r="G24" s="156"/>
      <c r="H24" s="157"/>
    </row>
    <row r="25" spans="1:8" ht="15.75" x14ac:dyDescent="0.25">
      <c r="A25" s="158" t="s">
        <v>112</v>
      </c>
      <c r="B25" s="146"/>
      <c r="C25" s="146"/>
      <c r="D25" s="146"/>
      <c r="E25" s="146"/>
      <c r="F25" s="146"/>
      <c r="G25" s="146"/>
      <c r="H25" s="147"/>
    </row>
    <row r="26" spans="1:8" ht="15.75" x14ac:dyDescent="0.25">
      <c r="A26" s="158" t="s">
        <v>113</v>
      </c>
      <c r="B26" s="146"/>
      <c r="C26" s="146"/>
      <c r="D26" s="146"/>
      <c r="E26" s="146"/>
      <c r="F26" s="146"/>
      <c r="G26" s="146"/>
      <c r="H26" s="147"/>
    </row>
    <row r="27" spans="1:8" ht="15.75" x14ac:dyDescent="0.25">
      <c r="A27" s="153" t="s">
        <v>114</v>
      </c>
      <c r="B27" s="153"/>
      <c r="C27" s="153"/>
      <c r="D27" s="153"/>
      <c r="E27" s="153"/>
      <c r="F27" s="153"/>
      <c r="G27" s="153"/>
      <c r="H27" s="154"/>
    </row>
    <row r="28" spans="1:8" ht="15.75" x14ac:dyDescent="0.25">
      <c r="A28" s="155" t="s">
        <v>115</v>
      </c>
      <c r="B28" s="156"/>
      <c r="C28" s="156"/>
      <c r="D28" s="156"/>
      <c r="E28" s="156"/>
      <c r="F28" s="156"/>
      <c r="G28" s="156"/>
      <c r="H28" s="157"/>
    </row>
    <row r="29" spans="1:8" ht="78.75" x14ac:dyDescent="0.25">
      <c r="A29" s="95" t="s">
        <v>6</v>
      </c>
      <c r="B29" s="96" t="s">
        <v>5</v>
      </c>
      <c r="C29" s="96" t="s">
        <v>4</v>
      </c>
      <c r="D29" s="97" t="s">
        <v>3</v>
      </c>
      <c r="E29" s="97" t="s">
        <v>45</v>
      </c>
      <c r="F29" s="97" t="s">
        <v>1</v>
      </c>
      <c r="G29" s="98" t="s">
        <v>0</v>
      </c>
      <c r="H29" s="43" t="s">
        <v>8</v>
      </c>
    </row>
    <row r="30" spans="1:8" ht="35.25" customHeight="1" x14ac:dyDescent="0.25">
      <c r="A30" s="22">
        <v>1</v>
      </c>
      <c r="B30" s="23" t="s">
        <v>181</v>
      </c>
      <c r="C30" s="28" t="s">
        <v>249</v>
      </c>
      <c r="D30" s="25" t="s">
        <v>58</v>
      </c>
      <c r="E30" s="26">
        <v>1</v>
      </c>
      <c r="F30" s="26" t="s">
        <v>55</v>
      </c>
      <c r="G30" s="26">
        <v>1</v>
      </c>
      <c r="H30" s="27"/>
    </row>
    <row r="31" spans="1:8" ht="48" customHeight="1" x14ac:dyDescent="0.25">
      <c r="A31" s="22">
        <v>2</v>
      </c>
      <c r="B31" s="23" t="s">
        <v>182</v>
      </c>
      <c r="C31" s="28" t="s">
        <v>125</v>
      </c>
      <c r="D31" s="25" t="s">
        <v>58</v>
      </c>
      <c r="E31" s="26">
        <v>1</v>
      </c>
      <c r="F31" s="26" t="s">
        <v>55</v>
      </c>
      <c r="G31" s="26">
        <v>1</v>
      </c>
      <c r="H31" s="27"/>
    </row>
    <row r="32" spans="1:8" ht="36.75" customHeight="1" x14ac:dyDescent="0.25">
      <c r="A32" s="22">
        <v>3</v>
      </c>
      <c r="B32" s="23" t="s">
        <v>118</v>
      </c>
      <c r="C32" s="28" t="s">
        <v>166</v>
      </c>
      <c r="D32" s="25" t="s">
        <v>94</v>
      </c>
      <c r="E32" s="26">
        <v>1</v>
      </c>
      <c r="F32" s="26" t="s">
        <v>55</v>
      </c>
      <c r="G32" s="26">
        <v>1</v>
      </c>
      <c r="H32" s="27"/>
    </row>
    <row r="33" spans="1:11" ht="36" customHeight="1" x14ac:dyDescent="0.25">
      <c r="A33" s="22">
        <v>4</v>
      </c>
      <c r="B33" s="23" t="s">
        <v>119</v>
      </c>
      <c r="C33" s="28" t="s">
        <v>168</v>
      </c>
      <c r="D33" s="25" t="s">
        <v>94</v>
      </c>
      <c r="E33" s="26">
        <v>1</v>
      </c>
      <c r="F33" s="26" t="s">
        <v>55</v>
      </c>
      <c r="G33" s="26">
        <v>1</v>
      </c>
      <c r="H33" s="27"/>
    </row>
    <row r="34" spans="1:11" ht="96.75" customHeight="1" x14ac:dyDescent="0.25">
      <c r="A34" s="22">
        <v>5</v>
      </c>
      <c r="B34" s="23" t="s">
        <v>180</v>
      </c>
      <c r="C34" s="28" t="s">
        <v>116</v>
      </c>
      <c r="D34" s="25" t="s">
        <v>58</v>
      </c>
      <c r="E34" s="26">
        <v>1</v>
      </c>
      <c r="F34" s="26" t="s">
        <v>55</v>
      </c>
      <c r="G34" s="26">
        <v>1</v>
      </c>
      <c r="H34" s="27"/>
    </row>
    <row r="35" spans="1:11" ht="30" customHeight="1" x14ac:dyDescent="0.25">
      <c r="A35" s="22">
        <v>6</v>
      </c>
      <c r="B35" s="105" t="s">
        <v>313</v>
      </c>
      <c r="C35" s="104" t="s">
        <v>184</v>
      </c>
      <c r="D35" s="25" t="s">
        <v>94</v>
      </c>
      <c r="E35" s="26">
        <v>1</v>
      </c>
      <c r="F35" s="26" t="s">
        <v>55</v>
      </c>
      <c r="G35" s="26">
        <v>2</v>
      </c>
      <c r="H35" s="27"/>
    </row>
    <row r="36" spans="1:11" ht="63" customHeight="1" x14ac:dyDescent="0.25">
      <c r="A36" s="22">
        <v>7</v>
      </c>
      <c r="B36" s="23" t="s">
        <v>120</v>
      </c>
      <c r="C36" s="23" t="s">
        <v>117</v>
      </c>
      <c r="D36" s="25" t="s">
        <v>94</v>
      </c>
      <c r="E36" s="26">
        <v>1</v>
      </c>
      <c r="F36" s="26" t="s">
        <v>55</v>
      </c>
      <c r="G36" s="26">
        <v>1</v>
      </c>
      <c r="H36" s="27"/>
    </row>
    <row r="37" spans="1:11" ht="63.75" customHeight="1" x14ac:dyDescent="0.25">
      <c r="A37" s="22">
        <v>8</v>
      </c>
      <c r="B37" s="39" t="s">
        <v>183</v>
      </c>
      <c r="C37" s="39" t="s">
        <v>121</v>
      </c>
      <c r="D37" s="25" t="s">
        <v>58</v>
      </c>
      <c r="E37" s="100">
        <v>1</v>
      </c>
      <c r="F37" s="26" t="s">
        <v>55</v>
      </c>
      <c r="G37" s="100">
        <v>3</v>
      </c>
      <c r="H37" s="27"/>
    </row>
    <row r="38" spans="1:11" ht="48.75" customHeight="1" x14ac:dyDescent="0.25">
      <c r="A38" s="22">
        <v>9</v>
      </c>
      <c r="B38" s="39" t="s">
        <v>314</v>
      </c>
      <c r="C38" s="39" t="s">
        <v>122</v>
      </c>
      <c r="D38" s="25" t="s">
        <v>58</v>
      </c>
      <c r="E38" s="100">
        <v>1</v>
      </c>
      <c r="F38" s="26" t="s">
        <v>55</v>
      </c>
      <c r="G38" s="100">
        <v>5</v>
      </c>
      <c r="H38" s="27"/>
    </row>
    <row r="39" spans="1:11" ht="30.75" customHeight="1" x14ac:dyDescent="0.25">
      <c r="A39" s="22">
        <v>10</v>
      </c>
      <c r="B39" s="39" t="s">
        <v>315</v>
      </c>
      <c r="C39" s="39" t="s">
        <v>127</v>
      </c>
      <c r="D39" s="25" t="s">
        <v>58</v>
      </c>
      <c r="E39" s="100">
        <v>1</v>
      </c>
      <c r="F39" s="26" t="s">
        <v>55</v>
      </c>
      <c r="G39" s="100">
        <v>5</v>
      </c>
      <c r="H39" s="27"/>
    </row>
    <row r="40" spans="1:11" ht="36" customHeight="1" x14ac:dyDescent="0.25">
      <c r="A40" s="22">
        <v>11</v>
      </c>
      <c r="B40" s="23" t="s">
        <v>131</v>
      </c>
      <c r="C40" s="28" t="s">
        <v>130</v>
      </c>
      <c r="D40" s="25" t="s">
        <v>94</v>
      </c>
      <c r="E40" s="43">
        <v>1</v>
      </c>
      <c r="F40" s="26" t="s">
        <v>55</v>
      </c>
      <c r="G40" s="43">
        <v>2</v>
      </c>
      <c r="H40" s="27"/>
      <c r="K40" s="47"/>
    </row>
    <row r="41" spans="1:11" ht="31.5" x14ac:dyDescent="0.25">
      <c r="A41" s="22">
        <v>12</v>
      </c>
      <c r="B41" s="44" t="s">
        <v>150</v>
      </c>
      <c r="C41" s="48" t="s">
        <v>149</v>
      </c>
      <c r="D41" s="25" t="s">
        <v>94</v>
      </c>
      <c r="E41" s="21">
        <v>1</v>
      </c>
      <c r="F41" s="26" t="s">
        <v>55</v>
      </c>
      <c r="G41" s="46">
        <v>2</v>
      </c>
      <c r="H41" s="27"/>
    </row>
    <row r="42" spans="1:11" ht="123" customHeight="1" x14ac:dyDescent="0.25">
      <c r="A42" s="22">
        <v>13</v>
      </c>
      <c r="B42" s="23" t="s">
        <v>143</v>
      </c>
      <c r="C42" s="48" t="s">
        <v>142</v>
      </c>
      <c r="D42" s="25" t="s">
        <v>51</v>
      </c>
      <c r="E42" s="43">
        <v>1</v>
      </c>
      <c r="F42" s="26" t="s">
        <v>55</v>
      </c>
      <c r="G42" s="43">
        <v>2</v>
      </c>
      <c r="H42" s="27"/>
    </row>
    <row r="43" spans="1:11" ht="47.25" customHeight="1" x14ac:dyDescent="0.25">
      <c r="A43" s="22">
        <v>14</v>
      </c>
      <c r="B43" s="23" t="s">
        <v>316</v>
      </c>
      <c r="C43" s="48" t="s">
        <v>146</v>
      </c>
      <c r="D43" s="25" t="s">
        <v>51</v>
      </c>
      <c r="E43" s="43">
        <v>1</v>
      </c>
      <c r="F43" s="26" t="s">
        <v>55</v>
      </c>
      <c r="G43" s="43">
        <v>15</v>
      </c>
      <c r="H43" s="27"/>
    </row>
    <row r="44" spans="1:11" ht="33" customHeight="1" x14ac:dyDescent="0.25">
      <c r="A44" s="22">
        <v>15</v>
      </c>
      <c r="B44" s="23" t="s">
        <v>144</v>
      </c>
      <c r="C44" s="101" t="s">
        <v>145</v>
      </c>
      <c r="D44" s="25" t="s">
        <v>51</v>
      </c>
      <c r="E44" s="43">
        <v>1</v>
      </c>
      <c r="F44" s="26" t="s">
        <v>55</v>
      </c>
      <c r="G44" s="43">
        <v>2</v>
      </c>
      <c r="H44" s="27"/>
    </row>
    <row r="45" spans="1:11" ht="21.75" customHeight="1" x14ac:dyDescent="0.25">
      <c r="A45" s="22">
        <v>16</v>
      </c>
      <c r="B45" s="23" t="s">
        <v>317</v>
      </c>
      <c r="C45" s="101" t="s">
        <v>164</v>
      </c>
      <c r="D45" s="25" t="s">
        <v>51</v>
      </c>
      <c r="E45" s="43">
        <v>1</v>
      </c>
      <c r="F45" s="26" t="s">
        <v>55</v>
      </c>
      <c r="G45" s="43">
        <v>1</v>
      </c>
      <c r="H45" s="27"/>
    </row>
    <row r="46" spans="1:11" ht="15.75" x14ac:dyDescent="0.25">
      <c r="A46" s="22">
        <v>17</v>
      </c>
      <c r="B46" s="23" t="s">
        <v>52</v>
      </c>
      <c r="C46" s="41" t="s">
        <v>53</v>
      </c>
      <c r="D46" s="25" t="s">
        <v>51</v>
      </c>
      <c r="E46" s="43">
        <v>1</v>
      </c>
      <c r="F46" s="26" t="s">
        <v>55</v>
      </c>
      <c r="G46" s="43">
        <v>167</v>
      </c>
      <c r="H46" s="27"/>
    </row>
    <row r="47" spans="1:11" ht="15.75" x14ac:dyDescent="0.25">
      <c r="A47" s="22">
        <v>18</v>
      </c>
      <c r="B47" s="49" t="s">
        <v>54</v>
      </c>
      <c r="C47" s="28" t="s">
        <v>164</v>
      </c>
      <c r="D47" s="25" t="s">
        <v>51</v>
      </c>
      <c r="E47" s="50">
        <v>1</v>
      </c>
      <c r="F47" s="26" t="s">
        <v>55</v>
      </c>
      <c r="G47" s="50">
        <v>3</v>
      </c>
      <c r="H47" s="51"/>
    </row>
    <row r="48" spans="1:11" ht="31.5" x14ac:dyDescent="0.25">
      <c r="A48" s="22">
        <v>19</v>
      </c>
      <c r="B48" s="28" t="s">
        <v>147</v>
      </c>
      <c r="C48" s="28" t="s">
        <v>148</v>
      </c>
      <c r="D48" s="25" t="s">
        <v>51</v>
      </c>
      <c r="E48" s="54">
        <v>1</v>
      </c>
      <c r="F48" s="26" t="s">
        <v>55</v>
      </c>
      <c r="G48" s="54">
        <v>3</v>
      </c>
      <c r="H48" s="27"/>
    </row>
    <row r="49" spans="1:8" ht="15.75" x14ac:dyDescent="0.25">
      <c r="A49" s="177" t="s">
        <v>56</v>
      </c>
      <c r="B49" s="178"/>
      <c r="C49" s="178"/>
      <c r="D49" s="178"/>
      <c r="E49" s="178"/>
      <c r="F49" s="178"/>
      <c r="G49" s="178"/>
      <c r="H49" s="179"/>
    </row>
    <row r="50" spans="1:8" ht="31.5" customHeight="1" x14ac:dyDescent="0.25">
      <c r="A50" s="52">
        <v>1</v>
      </c>
      <c r="B50" s="23" t="s">
        <v>57</v>
      </c>
      <c r="C50" s="23" t="s">
        <v>137</v>
      </c>
      <c r="D50" s="25" t="s">
        <v>62</v>
      </c>
      <c r="E50" s="54">
        <v>1</v>
      </c>
      <c r="F50" s="26" t="s">
        <v>55</v>
      </c>
      <c r="G50" s="54">
        <v>5</v>
      </c>
      <c r="H50" s="27"/>
    </row>
    <row r="51" spans="1:8" ht="31.5" x14ac:dyDescent="0.25">
      <c r="A51" s="52">
        <v>2</v>
      </c>
      <c r="B51" s="39" t="s">
        <v>133</v>
      </c>
      <c r="C51" s="28" t="s">
        <v>134</v>
      </c>
      <c r="D51" s="25" t="s">
        <v>62</v>
      </c>
      <c r="E51" s="54">
        <v>1</v>
      </c>
      <c r="F51" s="26" t="s">
        <v>55</v>
      </c>
      <c r="G51" s="54">
        <v>3</v>
      </c>
      <c r="H51" s="27"/>
    </row>
    <row r="52" spans="1:8" ht="32.25" customHeight="1" x14ac:dyDescent="0.25">
      <c r="A52" s="52">
        <v>3</v>
      </c>
      <c r="B52" s="28" t="s">
        <v>135</v>
      </c>
      <c r="C52" s="28" t="s">
        <v>136</v>
      </c>
      <c r="D52" s="25" t="s">
        <v>62</v>
      </c>
      <c r="E52" s="54">
        <v>1</v>
      </c>
      <c r="F52" s="26" t="s">
        <v>55</v>
      </c>
      <c r="G52" s="54">
        <v>2</v>
      </c>
      <c r="H52" s="27"/>
    </row>
    <row r="53" spans="1:8" ht="48" customHeight="1" x14ac:dyDescent="0.25">
      <c r="A53" s="52">
        <v>4</v>
      </c>
      <c r="B53" s="28" t="s">
        <v>151</v>
      </c>
      <c r="C53" s="28" t="s">
        <v>138</v>
      </c>
      <c r="D53" s="25" t="s">
        <v>62</v>
      </c>
      <c r="E53" s="54">
        <v>1</v>
      </c>
      <c r="F53" s="26" t="s">
        <v>55</v>
      </c>
      <c r="G53" s="54">
        <v>5</v>
      </c>
      <c r="H53" s="27"/>
    </row>
    <row r="54" spans="1:8" ht="31.5" customHeight="1" x14ac:dyDescent="0.25">
      <c r="A54" s="52">
        <v>5</v>
      </c>
      <c r="B54" s="28" t="s">
        <v>152</v>
      </c>
      <c r="C54" s="28" t="s">
        <v>139</v>
      </c>
      <c r="D54" s="25" t="s">
        <v>62</v>
      </c>
      <c r="E54" s="54">
        <v>1</v>
      </c>
      <c r="F54" s="26" t="s">
        <v>55</v>
      </c>
      <c r="G54" s="54">
        <v>5</v>
      </c>
      <c r="H54" s="27"/>
    </row>
    <row r="55" spans="1:8" ht="31.5" x14ac:dyDescent="0.25">
      <c r="A55" s="52">
        <v>6</v>
      </c>
      <c r="B55" s="28" t="s">
        <v>153</v>
      </c>
      <c r="C55" s="101" t="s">
        <v>140</v>
      </c>
      <c r="D55" s="25" t="s">
        <v>62</v>
      </c>
      <c r="E55" s="54">
        <v>1</v>
      </c>
      <c r="F55" s="26" t="s">
        <v>55</v>
      </c>
      <c r="G55" s="54">
        <v>5</v>
      </c>
      <c r="H55" s="27"/>
    </row>
    <row r="56" spans="1:8" ht="23.25" customHeight="1" x14ac:dyDescent="0.25">
      <c r="A56" s="176" t="s">
        <v>14</v>
      </c>
      <c r="B56" s="156"/>
      <c r="C56" s="156"/>
      <c r="D56" s="156"/>
      <c r="E56" s="156"/>
      <c r="F56" s="156"/>
      <c r="G56" s="156"/>
      <c r="H56" s="156"/>
    </row>
    <row r="57" spans="1:8" ht="15.75" customHeight="1" x14ac:dyDescent="0.25">
      <c r="A57" s="182" t="s">
        <v>7</v>
      </c>
      <c r="B57" s="160"/>
      <c r="C57" s="160"/>
      <c r="D57" s="160"/>
      <c r="E57" s="160"/>
      <c r="F57" s="160"/>
      <c r="G57" s="160"/>
      <c r="H57" s="161"/>
    </row>
    <row r="58" spans="1:8" ht="15" customHeight="1" x14ac:dyDescent="0.25">
      <c r="A58" s="145" t="s">
        <v>154</v>
      </c>
      <c r="B58" s="146"/>
      <c r="C58" s="146"/>
      <c r="D58" s="146"/>
      <c r="E58" s="146"/>
      <c r="F58" s="146"/>
      <c r="G58" s="146"/>
      <c r="H58" s="147"/>
    </row>
    <row r="59" spans="1:8" ht="15.75" x14ac:dyDescent="0.25">
      <c r="A59" s="145" t="s">
        <v>155</v>
      </c>
      <c r="B59" s="146"/>
      <c r="C59" s="146"/>
      <c r="D59" s="146"/>
      <c r="E59" s="146"/>
      <c r="F59" s="146"/>
      <c r="G59" s="146"/>
      <c r="H59" s="147"/>
    </row>
    <row r="60" spans="1:8" ht="15" customHeight="1" x14ac:dyDescent="0.25">
      <c r="A60" s="145" t="s">
        <v>156</v>
      </c>
      <c r="B60" s="146"/>
      <c r="C60" s="146"/>
      <c r="D60" s="146"/>
      <c r="E60" s="146"/>
      <c r="F60" s="146"/>
      <c r="G60" s="146"/>
      <c r="H60" s="147"/>
    </row>
    <row r="61" spans="1:8" ht="15" customHeight="1" x14ac:dyDescent="0.25">
      <c r="A61" s="145" t="s">
        <v>157</v>
      </c>
      <c r="B61" s="148"/>
      <c r="C61" s="148"/>
      <c r="D61" s="148"/>
      <c r="E61" s="148"/>
      <c r="F61" s="148"/>
      <c r="G61" s="148"/>
      <c r="H61" s="149"/>
    </row>
    <row r="62" spans="1:8" ht="15.75" x14ac:dyDescent="0.25">
      <c r="A62" s="145" t="s">
        <v>158</v>
      </c>
      <c r="B62" s="148"/>
      <c r="C62" s="148"/>
      <c r="D62" s="148"/>
      <c r="E62" s="148"/>
      <c r="F62" s="148"/>
      <c r="G62" s="148"/>
      <c r="H62" s="149"/>
    </row>
    <row r="63" spans="1:8" ht="15.75" x14ac:dyDescent="0.25">
      <c r="A63" s="145" t="s">
        <v>159</v>
      </c>
      <c r="B63" s="148"/>
      <c r="C63" s="148"/>
      <c r="D63" s="148"/>
      <c r="E63" s="148"/>
      <c r="F63" s="148"/>
      <c r="G63" s="148"/>
      <c r="H63" s="149"/>
    </row>
    <row r="64" spans="1:8" ht="15" customHeight="1" x14ac:dyDescent="0.25">
      <c r="A64" s="145" t="s">
        <v>160</v>
      </c>
      <c r="B64" s="146"/>
      <c r="C64" s="146"/>
      <c r="D64" s="146"/>
      <c r="E64" s="146"/>
      <c r="F64" s="146"/>
      <c r="G64" s="146"/>
      <c r="H64" s="147"/>
    </row>
    <row r="65" spans="1:8" ht="15.75" x14ac:dyDescent="0.25">
      <c r="A65" s="145" t="s">
        <v>161</v>
      </c>
      <c r="B65" s="146"/>
      <c r="C65" s="146"/>
      <c r="D65" s="146"/>
      <c r="E65" s="146"/>
      <c r="F65" s="146"/>
      <c r="G65" s="146"/>
      <c r="H65" s="147"/>
    </row>
    <row r="66" spans="1:8" ht="15" customHeight="1" x14ac:dyDescent="0.25">
      <c r="A66" s="145" t="s">
        <v>162</v>
      </c>
      <c r="B66" s="146"/>
      <c r="C66" s="146"/>
      <c r="D66" s="146"/>
      <c r="E66" s="146"/>
      <c r="F66" s="146"/>
      <c r="G66" s="146"/>
      <c r="H66" s="147"/>
    </row>
    <row r="67" spans="1:8" ht="15" customHeight="1" x14ac:dyDescent="0.25">
      <c r="A67" s="145" t="s">
        <v>113</v>
      </c>
      <c r="B67" s="146"/>
      <c r="C67" s="146"/>
      <c r="D67" s="146"/>
      <c r="E67" s="146"/>
      <c r="F67" s="146"/>
      <c r="G67" s="146"/>
      <c r="H67" s="147"/>
    </row>
    <row r="68" spans="1:8" ht="15" customHeight="1" x14ac:dyDescent="0.25">
      <c r="A68" s="145" t="s">
        <v>114</v>
      </c>
      <c r="B68" s="148"/>
      <c r="C68" s="148"/>
      <c r="D68" s="148"/>
      <c r="E68" s="148"/>
      <c r="F68" s="148"/>
      <c r="G68" s="148"/>
      <c r="H68" s="149"/>
    </row>
    <row r="69" spans="1:8" ht="15" customHeight="1" x14ac:dyDescent="0.25">
      <c r="A69" s="150" t="s">
        <v>115</v>
      </c>
      <c r="B69" s="151"/>
      <c r="C69" s="151"/>
      <c r="D69" s="151"/>
      <c r="E69" s="151"/>
      <c r="F69" s="151"/>
      <c r="G69" s="151"/>
      <c r="H69" s="152"/>
    </row>
    <row r="70" spans="1:8" ht="98.25" customHeight="1" x14ac:dyDescent="0.25">
      <c r="A70" s="20" t="s">
        <v>6</v>
      </c>
      <c r="B70" s="20" t="s">
        <v>5</v>
      </c>
      <c r="C70" s="19" t="s">
        <v>4</v>
      </c>
      <c r="D70" s="20" t="s">
        <v>3</v>
      </c>
      <c r="E70" s="20" t="s">
        <v>45</v>
      </c>
      <c r="F70" s="19" t="s">
        <v>1</v>
      </c>
      <c r="G70" s="19" t="s">
        <v>0</v>
      </c>
      <c r="H70" s="20" t="s">
        <v>8</v>
      </c>
    </row>
    <row r="71" spans="1:8" ht="15.75" x14ac:dyDescent="0.25">
      <c r="A71" s="30">
        <v>1</v>
      </c>
      <c r="B71" s="59" t="s">
        <v>59</v>
      </c>
      <c r="C71" s="101" t="s">
        <v>163</v>
      </c>
      <c r="D71" s="25" t="s">
        <v>51</v>
      </c>
      <c r="E71" s="43">
        <v>1</v>
      </c>
      <c r="F71" s="43" t="s">
        <v>55</v>
      </c>
      <c r="G71" s="43">
        <v>3</v>
      </c>
      <c r="H71" s="31"/>
    </row>
    <row r="72" spans="1:8" ht="15.75" x14ac:dyDescent="0.25">
      <c r="A72" s="176" t="s">
        <v>165</v>
      </c>
      <c r="B72" s="180"/>
      <c r="C72" s="180"/>
      <c r="D72" s="180"/>
      <c r="E72" s="180"/>
      <c r="F72" s="180"/>
      <c r="G72" s="180"/>
      <c r="H72" s="180"/>
    </row>
    <row r="73" spans="1:8" ht="15.75" x14ac:dyDescent="0.25">
      <c r="A73" s="181" t="s">
        <v>7</v>
      </c>
      <c r="B73" s="181"/>
      <c r="C73" s="181"/>
      <c r="D73" s="181"/>
      <c r="E73" s="181"/>
      <c r="F73" s="181"/>
      <c r="G73" s="181"/>
      <c r="H73" s="181"/>
    </row>
    <row r="74" spans="1:8" ht="15.75" customHeight="1" x14ac:dyDescent="0.25">
      <c r="A74" s="145" t="s">
        <v>169</v>
      </c>
      <c r="B74" s="146"/>
      <c r="C74" s="146"/>
      <c r="D74" s="146"/>
      <c r="E74" s="146"/>
      <c r="F74" s="146"/>
      <c r="G74" s="146"/>
      <c r="H74" s="147"/>
    </row>
    <row r="75" spans="1:8" ht="15.75" customHeight="1" x14ac:dyDescent="0.25">
      <c r="A75" s="145" t="s">
        <v>155</v>
      </c>
      <c r="B75" s="146"/>
      <c r="C75" s="146"/>
      <c r="D75" s="146"/>
      <c r="E75" s="146"/>
      <c r="F75" s="146"/>
      <c r="G75" s="146"/>
      <c r="H75" s="147"/>
    </row>
    <row r="76" spans="1:8" ht="15.75" customHeight="1" x14ac:dyDescent="0.25">
      <c r="A76" s="145" t="s">
        <v>170</v>
      </c>
      <c r="B76" s="146"/>
      <c r="C76" s="146"/>
      <c r="D76" s="146"/>
      <c r="E76" s="146"/>
      <c r="F76" s="146"/>
      <c r="G76" s="146"/>
      <c r="H76" s="147"/>
    </row>
    <row r="77" spans="1:8" ht="15.75" customHeight="1" x14ac:dyDescent="0.25">
      <c r="A77" s="145" t="s">
        <v>171</v>
      </c>
      <c r="B77" s="148"/>
      <c r="C77" s="148"/>
      <c r="D77" s="148"/>
      <c r="E77" s="148"/>
      <c r="F77" s="148"/>
      <c r="G77" s="148"/>
      <c r="H77" s="149"/>
    </row>
    <row r="78" spans="1:8" ht="15.75" customHeight="1" x14ac:dyDescent="0.25">
      <c r="A78" s="145" t="s">
        <v>123</v>
      </c>
      <c r="B78" s="148"/>
      <c r="C78" s="148"/>
      <c r="D78" s="148"/>
      <c r="E78" s="148"/>
      <c r="F78" s="148"/>
      <c r="G78" s="148"/>
      <c r="H78" s="149"/>
    </row>
    <row r="79" spans="1:8" ht="15.75" customHeight="1" x14ac:dyDescent="0.25">
      <c r="A79" s="145" t="s">
        <v>110</v>
      </c>
      <c r="B79" s="148"/>
      <c r="C79" s="148"/>
      <c r="D79" s="148"/>
      <c r="E79" s="148"/>
      <c r="F79" s="148"/>
      <c r="G79" s="148"/>
      <c r="H79" s="149"/>
    </row>
    <row r="80" spans="1:8" ht="15.75" customHeight="1" x14ac:dyDescent="0.25">
      <c r="A80" s="145" t="s">
        <v>173</v>
      </c>
      <c r="B80" s="146"/>
      <c r="C80" s="146"/>
      <c r="D80" s="146"/>
      <c r="E80" s="146"/>
      <c r="F80" s="146"/>
      <c r="G80" s="146"/>
      <c r="H80" s="147"/>
    </row>
    <row r="81" spans="1:8" ht="15.75" x14ac:dyDescent="0.25">
      <c r="A81" s="145" t="s">
        <v>167</v>
      </c>
      <c r="B81" s="146"/>
      <c r="C81" s="146"/>
      <c r="D81" s="146"/>
      <c r="E81" s="146"/>
      <c r="F81" s="146"/>
      <c r="G81" s="146"/>
      <c r="H81" s="147"/>
    </row>
    <row r="82" spans="1:8" ht="15.75" x14ac:dyDescent="0.25">
      <c r="A82" s="145" t="s">
        <v>112</v>
      </c>
      <c r="B82" s="146"/>
      <c r="C82" s="146"/>
      <c r="D82" s="146"/>
      <c r="E82" s="146"/>
      <c r="F82" s="146"/>
      <c r="G82" s="146"/>
      <c r="H82" s="147"/>
    </row>
    <row r="83" spans="1:8" ht="15.75" x14ac:dyDescent="0.25">
      <c r="A83" s="145" t="s">
        <v>113</v>
      </c>
      <c r="B83" s="146"/>
      <c r="C83" s="146"/>
      <c r="D83" s="146"/>
      <c r="E83" s="146"/>
      <c r="F83" s="146"/>
      <c r="G83" s="146"/>
      <c r="H83" s="147"/>
    </row>
    <row r="84" spans="1:8" ht="15.75" x14ac:dyDescent="0.25">
      <c r="A84" s="145" t="s">
        <v>114</v>
      </c>
      <c r="B84" s="148"/>
      <c r="C84" s="148"/>
      <c r="D84" s="148"/>
      <c r="E84" s="148"/>
      <c r="F84" s="148"/>
      <c r="G84" s="148"/>
      <c r="H84" s="149"/>
    </row>
    <row r="85" spans="1:8" ht="15.75" x14ac:dyDescent="0.25">
      <c r="A85" s="150" t="s">
        <v>115</v>
      </c>
      <c r="B85" s="151"/>
      <c r="C85" s="151"/>
      <c r="D85" s="151"/>
      <c r="E85" s="151"/>
      <c r="F85" s="151"/>
      <c r="G85" s="151"/>
      <c r="H85" s="152"/>
    </row>
    <row r="86" spans="1:8" ht="47.25" x14ac:dyDescent="0.25">
      <c r="A86" s="43" t="s">
        <v>6</v>
      </c>
      <c r="B86" s="43" t="s">
        <v>5</v>
      </c>
      <c r="C86" s="43" t="s">
        <v>4</v>
      </c>
      <c r="D86" s="43" t="s">
        <v>3</v>
      </c>
      <c r="E86" s="20" t="s">
        <v>45</v>
      </c>
      <c r="F86" s="43" t="s">
        <v>1</v>
      </c>
      <c r="G86" s="43" t="s">
        <v>0</v>
      </c>
      <c r="H86" s="27"/>
    </row>
    <row r="87" spans="1:8" ht="31.5" x14ac:dyDescent="0.25">
      <c r="A87" s="43">
        <v>1</v>
      </c>
      <c r="B87" s="103" t="s">
        <v>307</v>
      </c>
      <c r="C87" s="104" t="s">
        <v>308</v>
      </c>
      <c r="D87" s="25" t="s">
        <v>58</v>
      </c>
      <c r="E87" s="61">
        <v>1</v>
      </c>
      <c r="F87" s="61" t="s">
        <v>55</v>
      </c>
      <c r="G87" s="43">
        <v>1</v>
      </c>
      <c r="H87" s="27"/>
    </row>
    <row r="88" spans="1:8" ht="47.25" x14ac:dyDescent="0.25">
      <c r="A88" s="43">
        <v>2</v>
      </c>
      <c r="B88" s="105" t="s">
        <v>179</v>
      </c>
      <c r="C88" s="101" t="s">
        <v>309</v>
      </c>
      <c r="D88" s="25" t="s">
        <v>62</v>
      </c>
      <c r="E88" s="61">
        <v>1</v>
      </c>
      <c r="F88" s="61" t="s">
        <v>55</v>
      </c>
      <c r="G88" s="43">
        <v>1</v>
      </c>
      <c r="H88" s="27"/>
    </row>
    <row r="89" spans="1:8" ht="31.5" x14ac:dyDescent="0.25">
      <c r="A89" s="43">
        <v>3</v>
      </c>
      <c r="B89" s="39" t="s">
        <v>126</v>
      </c>
      <c r="C89" s="40" t="s">
        <v>127</v>
      </c>
      <c r="D89" s="25" t="s">
        <v>58</v>
      </c>
      <c r="E89" s="61">
        <v>1</v>
      </c>
      <c r="F89" s="61" t="s">
        <v>55</v>
      </c>
      <c r="G89" s="43">
        <v>1</v>
      </c>
      <c r="H89" s="27"/>
    </row>
    <row r="90" spans="1:8" ht="31.5" x14ac:dyDescent="0.25">
      <c r="A90" s="43">
        <v>4</v>
      </c>
      <c r="B90" s="23" t="s">
        <v>182</v>
      </c>
      <c r="C90" s="28" t="s">
        <v>125</v>
      </c>
      <c r="D90" s="25" t="s">
        <v>58</v>
      </c>
      <c r="E90" s="61">
        <v>1</v>
      </c>
      <c r="F90" s="61" t="s">
        <v>55</v>
      </c>
      <c r="G90" s="43">
        <v>1</v>
      </c>
      <c r="H90" s="27"/>
    </row>
    <row r="91" spans="1:8" ht="31.5" x14ac:dyDescent="0.25">
      <c r="A91" s="43">
        <v>5</v>
      </c>
      <c r="B91" s="23" t="s">
        <v>57</v>
      </c>
      <c r="C91" s="23" t="s">
        <v>137</v>
      </c>
      <c r="D91" s="25" t="s">
        <v>62</v>
      </c>
      <c r="E91" s="61">
        <v>1</v>
      </c>
      <c r="F91" s="61" t="s">
        <v>55</v>
      </c>
      <c r="G91" s="43">
        <v>1</v>
      </c>
      <c r="H91" s="27"/>
    </row>
    <row r="92" spans="1:8" ht="15.75" x14ac:dyDescent="0.25">
      <c r="A92" s="43">
        <v>6</v>
      </c>
      <c r="B92" s="39" t="s">
        <v>238</v>
      </c>
      <c r="C92" s="28" t="s">
        <v>136</v>
      </c>
      <c r="D92" s="25" t="s">
        <v>62</v>
      </c>
      <c r="E92" s="61">
        <v>1</v>
      </c>
      <c r="F92" s="61" t="s">
        <v>55</v>
      </c>
      <c r="G92" s="43">
        <v>1</v>
      </c>
      <c r="H92" s="27"/>
    </row>
    <row r="93" spans="1:8" ht="15.75" x14ac:dyDescent="0.25">
      <c r="A93" s="43">
        <v>7</v>
      </c>
      <c r="B93" s="39" t="s">
        <v>310</v>
      </c>
      <c r="C93" s="28" t="s">
        <v>311</v>
      </c>
      <c r="D93" s="25" t="s">
        <v>58</v>
      </c>
      <c r="E93" s="61">
        <v>1</v>
      </c>
      <c r="F93" s="61" t="s">
        <v>55</v>
      </c>
      <c r="G93" s="43">
        <v>1</v>
      </c>
      <c r="H93" s="27"/>
    </row>
    <row r="94" spans="1:8" ht="53.25" customHeight="1" x14ac:dyDescent="0.25">
      <c r="A94" s="43">
        <v>8</v>
      </c>
      <c r="B94" s="28" t="s">
        <v>60</v>
      </c>
      <c r="C94" s="28" t="s">
        <v>146</v>
      </c>
      <c r="D94" s="25" t="s">
        <v>51</v>
      </c>
      <c r="E94" s="61">
        <v>1</v>
      </c>
      <c r="F94" s="61" t="s">
        <v>55</v>
      </c>
      <c r="G94" s="61">
        <v>10</v>
      </c>
      <c r="H94" s="27"/>
    </row>
    <row r="95" spans="1:8" ht="15.75" x14ac:dyDescent="0.25">
      <c r="A95" s="43">
        <v>9</v>
      </c>
      <c r="B95" s="28" t="s">
        <v>52</v>
      </c>
      <c r="C95" s="28" t="s">
        <v>53</v>
      </c>
      <c r="D95" s="25" t="s">
        <v>51</v>
      </c>
      <c r="E95" s="61">
        <v>1</v>
      </c>
      <c r="F95" s="61" t="s">
        <v>55</v>
      </c>
      <c r="G95" s="61">
        <v>26</v>
      </c>
      <c r="H95" s="27"/>
    </row>
    <row r="96" spans="1:8" ht="31.5" x14ac:dyDescent="0.25">
      <c r="A96" s="43">
        <v>10</v>
      </c>
      <c r="B96" s="28" t="s">
        <v>54</v>
      </c>
      <c r="C96" s="28" t="s">
        <v>90</v>
      </c>
      <c r="D96" s="25" t="s">
        <v>51</v>
      </c>
      <c r="E96" s="61">
        <v>1</v>
      </c>
      <c r="F96" s="61" t="s">
        <v>55</v>
      </c>
      <c r="G96" s="61">
        <v>1</v>
      </c>
      <c r="H96" s="27"/>
    </row>
    <row r="97" spans="1:8" ht="23.25" customHeight="1" x14ac:dyDescent="0.25">
      <c r="A97" s="176" t="s">
        <v>15</v>
      </c>
      <c r="B97" s="156"/>
      <c r="C97" s="156"/>
      <c r="D97" s="156"/>
      <c r="E97" s="156"/>
      <c r="F97" s="156"/>
      <c r="G97" s="156"/>
      <c r="H97" s="156"/>
    </row>
    <row r="98" spans="1:8" ht="15.75" customHeight="1" x14ac:dyDescent="0.25">
      <c r="A98" s="159" t="s">
        <v>7</v>
      </c>
      <c r="B98" s="160"/>
      <c r="C98" s="160"/>
      <c r="D98" s="160"/>
      <c r="E98" s="160"/>
      <c r="F98" s="160"/>
      <c r="G98" s="160"/>
      <c r="H98" s="161"/>
    </row>
    <row r="99" spans="1:8" ht="15" customHeight="1" x14ac:dyDescent="0.25">
      <c r="A99" s="145" t="s">
        <v>174</v>
      </c>
      <c r="B99" s="146"/>
      <c r="C99" s="146"/>
      <c r="D99" s="146"/>
      <c r="E99" s="146"/>
      <c r="F99" s="146"/>
      <c r="G99" s="146"/>
      <c r="H99" s="147"/>
    </row>
    <row r="100" spans="1:8" ht="15.75" x14ac:dyDescent="0.25">
      <c r="A100" s="145" t="s">
        <v>175</v>
      </c>
      <c r="B100" s="146"/>
      <c r="C100" s="146"/>
      <c r="D100" s="146"/>
      <c r="E100" s="146"/>
      <c r="F100" s="146"/>
      <c r="G100" s="146"/>
      <c r="H100" s="147"/>
    </row>
    <row r="101" spans="1:8" ht="15" customHeight="1" x14ac:dyDescent="0.25">
      <c r="A101" s="145" t="s">
        <v>176</v>
      </c>
      <c r="B101" s="146"/>
      <c r="C101" s="146"/>
      <c r="D101" s="146"/>
      <c r="E101" s="146"/>
      <c r="F101" s="146"/>
      <c r="G101" s="146"/>
      <c r="H101" s="147"/>
    </row>
    <row r="102" spans="1:8" ht="15.75" x14ac:dyDescent="0.25">
      <c r="A102" s="145" t="s">
        <v>177</v>
      </c>
      <c r="B102" s="148"/>
      <c r="C102" s="148"/>
      <c r="D102" s="148"/>
      <c r="E102" s="148"/>
      <c r="F102" s="148"/>
      <c r="G102" s="148"/>
      <c r="H102" s="149"/>
    </row>
    <row r="103" spans="1:8" ht="15.75" x14ac:dyDescent="0.25">
      <c r="A103" s="145" t="s">
        <v>123</v>
      </c>
      <c r="B103" s="148"/>
      <c r="C103" s="148"/>
      <c r="D103" s="148"/>
      <c r="E103" s="148"/>
      <c r="F103" s="148"/>
      <c r="G103" s="148"/>
      <c r="H103" s="149"/>
    </row>
    <row r="104" spans="1:8" ht="15" customHeight="1" x14ac:dyDescent="0.25">
      <c r="A104" s="145" t="s">
        <v>178</v>
      </c>
      <c r="B104" s="148"/>
      <c r="C104" s="148"/>
      <c r="D104" s="148"/>
      <c r="E104" s="148"/>
      <c r="F104" s="148"/>
      <c r="G104" s="148"/>
      <c r="H104" s="149"/>
    </row>
    <row r="105" spans="1:8" ht="15" customHeight="1" x14ac:dyDescent="0.25">
      <c r="A105" s="145" t="s">
        <v>160</v>
      </c>
      <c r="B105" s="146"/>
      <c r="C105" s="146"/>
      <c r="D105" s="146"/>
      <c r="E105" s="146"/>
      <c r="F105" s="146"/>
      <c r="G105" s="146"/>
      <c r="H105" s="147"/>
    </row>
    <row r="106" spans="1:8" ht="15.75" x14ac:dyDescent="0.25">
      <c r="A106" s="145" t="s">
        <v>167</v>
      </c>
      <c r="B106" s="146"/>
      <c r="C106" s="146"/>
      <c r="D106" s="146"/>
      <c r="E106" s="146"/>
      <c r="F106" s="146"/>
      <c r="G106" s="146"/>
      <c r="H106" s="147"/>
    </row>
    <row r="107" spans="1:8" ht="15" customHeight="1" x14ac:dyDescent="0.25">
      <c r="A107" s="145" t="s">
        <v>112</v>
      </c>
      <c r="B107" s="146"/>
      <c r="C107" s="146"/>
      <c r="D107" s="146"/>
      <c r="E107" s="146"/>
      <c r="F107" s="146"/>
      <c r="G107" s="146"/>
      <c r="H107" s="147"/>
    </row>
    <row r="108" spans="1:8" ht="15" customHeight="1" x14ac:dyDescent="0.25">
      <c r="A108" s="145" t="s">
        <v>113</v>
      </c>
      <c r="B108" s="146"/>
      <c r="C108" s="146"/>
      <c r="D108" s="146"/>
      <c r="E108" s="146"/>
      <c r="F108" s="146"/>
      <c r="G108" s="146"/>
      <c r="H108" s="147"/>
    </row>
    <row r="109" spans="1:8" ht="15" customHeight="1" x14ac:dyDescent="0.25">
      <c r="A109" s="145" t="s">
        <v>114</v>
      </c>
      <c r="B109" s="148"/>
      <c r="C109" s="148"/>
      <c r="D109" s="148"/>
      <c r="E109" s="148"/>
      <c r="F109" s="148"/>
      <c r="G109" s="148"/>
      <c r="H109" s="149"/>
    </row>
    <row r="110" spans="1:8" ht="15" customHeight="1" x14ac:dyDescent="0.25">
      <c r="A110" s="150" t="s">
        <v>115</v>
      </c>
      <c r="B110" s="151"/>
      <c r="C110" s="151"/>
      <c r="D110" s="151"/>
      <c r="E110" s="151"/>
      <c r="F110" s="151"/>
      <c r="G110" s="151"/>
      <c r="H110" s="152"/>
    </row>
    <row r="111" spans="1:8" ht="78.75" x14ac:dyDescent="0.25">
      <c r="A111" s="18" t="s">
        <v>6</v>
      </c>
      <c r="B111" s="20" t="s">
        <v>5</v>
      </c>
      <c r="C111" s="19" t="s">
        <v>4</v>
      </c>
      <c r="D111" s="19" t="s">
        <v>3</v>
      </c>
      <c r="E111" s="20" t="s">
        <v>45</v>
      </c>
      <c r="F111" s="19" t="s">
        <v>1</v>
      </c>
      <c r="G111" s="32" t="s">
        <v>0</v>
      </c>
      <c r="H111" s="21" t="s">
        <v>8</v>
      </c>
    </row>
    <row r="112" spans="1:8" ht="78.75" x14ac:dyDescent="0.25">
      <c r="A112" s="33">
        <v>1</v>
      </c>
      <c r="B112" s="103" t="s">
        <v>185</v>
      </c>
      <c r="C112" s="104" t="s">
        <v>132</v>
      </c>
      <c r="D112" s="25" t="s">
        <v>58</v>
      </c>
      <c r="E112" s="43">
        <v>1</v>
      </c>
      <c r="F112" s="43" t="s">
        <v>55</v>
      </c>
      <c r="G112" s="43">
        <v>5</v>
      </c>
      <c r="H112" s="27"/>
    </row>
    <row r="113" spans="1:8" ht="47.25" x14ac:dyDescent="0.25">
      <c r="A113" s="33">
        <v>2</v>
      </c>
      <c r="B113" s="105" t="s">
        <v>179</v>
      </c>
      <c r="C113" s="101" t="s">
        <v>122</v>
      </c>
      <c r="D113" s="25" t="s">
        <v>58</v>
      </c>
      <c r="E113" s="57">
        <v>1</v>
      </c>
      <c r="F113" s="43" t="s">
        <v>55</v>
      </c>
      <c r="G113" s="58">
        <v>9</v>
      </c>
      <c r="H113" s="27"/>
    </row>
    <row r="114" spans="1:8" ht="31.5" x14ac:dyDescent="0.25">
      <c r="A114" s="33">
        <v>3</v>
      </c>
      <c r="B114" s="39" t="s">
        <v>126</v>
      </c>
      <c r="C114" s="40" t="s">
        <v>127</v>
      </c>
      <c r="D114" s="25" t="s">
        <v>58</v>
      </c>
      <c r="E114" s="21">
        <v>1</v>
      </c>
      <c r="F114" s="43" t="s">
        <v>55</v>
      </c>
      <c r="G114" s="21">
        <v>5</v>
      </c>
      <c r="H114" s="27"/>
    </row>
    <row r="115" spans="1:8" ht="31.5" x14ac:dyDescent="0.25">
      <c r="A115" s="33">
        <v>4</v>
      </c>
      <c r="B115" s="39" t="s">
        <v>49</v>
      </c>
      <c r="C115" s="40" t="s">
        <v>189</v>
      </c>
      <c r="D115" s="25" t="s">
        <v>94</v>
      </c>
      <c r="E115" s="21">
        <v>1</v>
      </c>
      <c r="F115" s="43" t="s">
        <v>55</v>
      </c>
      <c r="G115" s="21">
        <v>1</v>
      </c>
      <c r="H115" s="27"/>
    </row>
    <row r="116" spans="1:8" ht="15.75" x14ac:dyDescent="0.25">
      <c r="A116" s="33">
        <v>5</v>
      </c>
      <c r="B116" s="102" t="s">
        <v>191</v>
      </c>
      <c r="C116" s="104" t="s">
        <v>192</v>
      </c>
      <c r="D116" s="25" t="s">
        <v>51</v>
      </c>
      <c r="E116" s="21">
        <v>1</v>
      </c>
      <c r="F116" s="43" t="s">
        <v>55</v>
      </c>
      <c r="G116" s="21">
        <v>1</v>
      </c>
      <c r="H116" s="27"/>
    </row>
    <row r="117" spans="1:8" ht="31.5" x14ac:dyDescent="0.25">
      <c r="A117" s="33">
        <v>6</v>
      </c>
      <c r="B117" s="107" t="s">
        <v>193</v>
      </c>
      <c r="C117" s="107" t="s">
        <v>148</v>
      </c>
      <c r="D117" s="25" t="s">
        <v>51</v>
      </c>
      <c r="E117" s="21">
        <v>1</v>
      </c>
      <c r="F117" s="43" t="s">
        <v>55</v>
      </c>
      <c r="G117" s="21">
        <v>5</v>
      </c>
      <c r="H117" s="27"/>
    </row>
    <row r="118" spans="1:8" ht="47.25" x14ac:dyDescent="0.25">
      <c r="A118" s="33">
        <v>7</v>
      </c>
      <c r="B118" s="55" t="s">
        <v>190</v>
      </c>
      <c r="C118" s="55" t="s">
        <v>187</v>
      </c>
      <c r="D118" s="25" t="s">
        <v>58</v>
      </c>
      <c r="E118" s="63">
        <v>1</v>
      </c>
      <c r="F118" s="43" t="s">
        <v>55</v>
      </c>
      <c r="G118" s="63">
        <v>1</v>
      </c>
      <c r="H118" s="27"/>
    </row>
    <row r="119" spans="1:8" ht="35.25" customHeight="1" x14ac:dyDescent="0.25">
      <c r="A119" s="33">
        <v>8</v>
      </c>
      <c r="B119" s="28" t="s">
        <v>60</v>
      </c>
      <c r="C119" s="28" t="s">
        <v>146</v>
      </c>
      <c r="D119" s="25" t="s">
        <v>51</v>
      </c>
      <c r="E119" s="58">
        <v>1</v>
      </c>
      <c r="F119" s="43" t="s">
        <v>55</v>
      </c>
      <c r="G119" s="58">
        <v>6</v>
      </c>
      <c r="H119" s="27"/>
    </row>
    <row r="120" spans="1:8" ht="114" customHeight="1" x14ac:dyDescent="0.25">
      <c r="A120" s="33">
        <v>9</v>
      </c>
      <c r="B120" s="23" t="s">
        <v>186</v>
      </c>
      <c r="C120" s="48" t="s">
        <v>142</v>
      </c>
      <c r="D120" s="25" t="s">
        <v>51</v>
      </c>
      <c r="E120" s="58">
        <v>1</v>
      </c>
      <c r="F120" s="43" t="s">
        <v>55</v>
      </c>
      <c r="G120" s="58">
        <f>16+6</f>
        <v>22</v>
      </c>
      <c r="H120" s="27"/>
    </row>
    <row r="121" spans="1:8" ht="60" customHeight="1" x14ac:dyDescent="0.25">
      <c r="A121" s="33">
        <v>10</v>
      </c>
      <c r="B121" s="107" t="s">
        <v>194</v>
      </c>
      <c r="C121" s="101" t="s">
        <v>195</v>
      </c>
      <c r="D121" s="25" t="s">
        <v>51</v>
      </c>
      <c r="E121" s="106">
        <v>1</v>
      </c>
      <c r="F121" s="43" t="s">
        <v>55</v>
      </c>
      <c r="G121" s="106">
        <v>1</v>
      </c>
      <c r="H121" s="51"/>
    </row>
    <row r="122" spans="1:8" ht="23.25" customHeight="1" x14ac:dyDescent="0.25">
      <c r="A122" s="33">
        <v>11</v>
      </c>
      <c r="B122" s="60" t="s">
        <v>196</v>
      </c>
      <c r="C122" s="104" t="s">
        <v>197</v>
      </c>
      <c r="D122" s="25" t="s">
        <v>75</v>
      </c>
      <c r="E122" s="106">
        <v>1</v>
      </c>
      <c r="F122" s="43" t="s">
        <v>55</v>
      </c>
      <c r="G122" s="106">
        <v>1</v>
      </c>
      <c r="H122" s="51"/>
    </row>
    <row r="123" spans="1:8" ht="15.75" x14ac:dyDescent="0.25">
      <c r="A123" s="33">
        <v>12</v>
      </c>
      <c r="B123" s="28" t="s">
        <v>61</v>
      </c>
      <c r="C123" s="28" t="s">
        <v>53</v>
      </c>
      <c r="D123" s="25" t="s">
        <v>51</v>
      </c>
      <c r="E123" s="106">
        <v>1</v>
      </c>
      <c r="F123" s="50" t="s">
        <v>55</v>
      </c>
      <c r="G123" s="106">
        <v>19</v>
      </c>
      <c r="H123" s="51"/>
    </row>
    <row r="124" spans="1:8" ht="15.75" x14ac:dyDescent="0.25">
      <c r="A124" s="33">
        <v>13</v>
      </c>
      <c r="B124" s="28" t="s">
        <v>129</v>
      </c>
      <c r="C124" s="28" t="s">
        <v>130</v>
      </c>
      <c r="D124" s="25" t="s">
        <v>58</v>
      </c>
      <c r="E124" s="61">
        <v>1</v>
      </c>
      <c r="F124" s="50" t="s">
        <v>55</v>
      </c>
      <c r="G124" s="61">
        <v>5</v>
      </c>
      <c r="H124" s="27"/>
    </row>
    <row r="125" spans="1:8" ht="31.5" x14ac:dyDescent="0.25">
      <c r="A125" s="33">
        <v>14</v>
      </c>
      <c r="B125" s="23" t="s">
        <v>144</v>
      </c>
      <c r="C125" s="101" t="s">
        <v>145</v>
      </c>
      <c r="D125" s="25" t="s">
        <v>51</v>
      </c>
      <c r="E125" s="61">
        <v>1</v>
      </c>
      <c r="F125" s="50" t="s">
        <v>55</v>
      </c>
      <c r="G125" s="61">
        <f>16+6</f>
        <v>22</v>
      </c>
      <c r="H125" s="27"/>
    </row>
    <row r="126" spans="1:8" ht="31.5" x14ac:dyDescent="0.25">
      <c r="A126" s="33">
        <v>15</v>
      </c>
      <c r="B126" s="44" t="s">
        <v>50</v>
      </c>
      <c r="C126" s="45" t="s">
        <v>149</v>
      </c>
      <c r="D126" s="25" t="s">
        <v>94</v>
      </c>
      <c r="E126" s="21">
        <v>1</v>
      </c>
      <c r="F126" s="26" t="s">
        <v>55</v>
      </c>
      <c r="G126" s="46">
        <v>2</v>
      </c>
      <c r="H126" s="27"/>
    </row>
    <row r="127" spans="1:8" ht="31.5" x14ac:dyDescent="0.25">
      <c r="A127" s="33">
        <v>16</v>
      </c>
      <c r="B127" s="28" t="s">
        <v>54</v>
      </c>
      <c r="C127" s="28" t="s">
        <v>90</v>
      </c>
      <c r="D127" s="25" t="s">
        <v>51</v>
      </c>
      <c r="E127" s="61">
        <v>1</v>
      </c>
      <c r="F127" s="61" t="s">
        <v>55</v>
      </c>
      <c r="G127" s="61">
        <v>2</v>
      </c>
      <c r="H127" s="27"/>
    </row>
    <row r="128" spans="1:8" ht="15.75" x14ac:dyDescent="0.25">
      <c r="A128" s="177" t="s">
        <v>56</v>
      </c>
      <c r="B128" s="178"/>
      <c r="C128" s="178"/>
      <c r="D128" s="178"/>
      <c r="E128" s="178"/>
      <c r="F128" s="178"/>
      <c r="G128" s="178"/>
      <c r="H128" s="179"/>
    </row>
    <row r="129" spans="1:8" ht="15.75" x14ac:dyDescent="0.25">
      <c r="A129" s="35">
        <v>1</v>
      </c>
      <c r="B129" s="102" t="s">
        <v>238</v>
      </c>
      <c r="C129" s="104" t="s">
        <v>226</v>
      </c>
      <c r="D129" s="53" t="s">
        <v>62</v>
      </c>
      <c r="E129" s="54">
        <v>1</v>
      </c>
      <c r="F129" s="26" t="s">
        <v>55</v>
      </c>
      <c r="G129" s="29">
        <v>5</v>
      </c>
      <c r="H129" s="27"/>
    </row>
    <row r="130" spans="1:8" ht="31.5" x14ac:dyDescent="0.25">
      <c r="A130" s="64">
        <v>2</v>
      </c>
      <c r="B130" s="102" t="s">
        <v>239</v>
      </c>
      <c r="C130" s="104" t="s">
        <v>138</v>
      </c>
      <c r="D130" s="53" t="s">
        <v>62</v>
      </c>
      <c r="E130" s="54">
        <v>1</v>
      </c>
      <c r="F130" s="26" t="s">
        <v>55</v>
      </c>
      <c r="G130" s="122">
        <v>5</v>
      </c>
      <c r="H130" s="51"/>
    </row>
    <row r="131" spans="1:8" ht="15.75" x14ac:dyDescent="0.25">
      <c r="A131" s="35">
        <v>3</v>
      </c>
      <c r="B131" s="102" t="s">
        <v>240</v>
      </c>
      <c r="C131" s="104" t="s">
        <v>139</v>
      </c>
      <c r="D131" s="53" t="s">
        <v>62</v>
      </c>
      <c r="E131" s="54">
        <v>1</v>
      </c>
      <c r="F131" s="26" t="s">
        <v>55</v>
      </c>
      <c r="G131" s="122">
        <v>5</v>
      </c>
      <c r="H131" s="51"/>
    </row>
    <row r="132" spans="1:8" ht="31.5" x14ac:dyDescent="0.25">
      <c r="A132" s="64">
        <v>4</v>
      </c>
      <c r="B132" s="102" t="s">
        <v>241</v>
      </c>
      <c r="C132" s="104" t="s">
        <v>137</v>
      </c>
      <c r="D132" s="53" t="s">
        <v>62</v>
      </c>
      <c r="E132" s="54">
        <v>1</v>
      </c>
      <c r="F132" s="26" t="s">
        <v>55</v>
      </c>
      <c r="G132" s="122">
        <v>5</v>
      </c>
      <c r="H132" s="51"/>
    </row>
    <row r="133" spans="1:8" ht="15.75" x14ac:dyDescent="0.25">
      <c r="A133" s="35">
        <v>5</v>
      </c>
      <c r="B133" s="102" t="s">
        <v>242</v>
      </c>
      <c r="C133" s="111" t="s">
        <v>229</v>
      </c>
      <c r="D133" s="53" t="s">
        <v>62</v>
      </c>
      <c r="E133" s="54">
        <v>1</v>
      </c>
      <c r="F133" s="26" t="s">
        <v>55</v>
      </c>
      <c r="G133" s="122">
        <v>5</v>
      </c>
      <c r="H133" s="51"/>
    </row>
    <row r="134" spans="1:8" ht="31.5" x14ac:dyDescent="0.25">
      <c r="A134" s="64">
        <v>6</v>
      </c>
      <c r="B134" s="102" t="s">
        <v>230</v>
      </c>
      <c r="C134" s="111" t="s">
        <v>231</v>
      </c>
      <c r="D134" s="53" t="s">
        <v>62</v>
      </c>
      <c r="E134" s="54">
        <v>1</v>
      </c>
      <c r="F134" s="26" t="s">
        <v>55</v>
      </c>
      <c r="G134" s="122">
        <v>4</v>
      </c>
      <c r="H134" s="51"/>
    </row>
    <row r="135" spans="1:8" ht="15.75" x14ac:dyDescent="0.25">
      <c r="A135" s="35">
        <v>7</v>
      </c>
      <c r="B135" s="102" t="s">
        <v>243</v>
      </c>
      <c r="C135" s="111" t="s">
        <v>232</v>
      </c>
      <c r="D135" s="53" t="s">
        <v>62</v>
      </c>
      <c r="E135" s="54">
        <v>1</v>
      </c>
      <c r="F135" s="26" t="s">
        <v>55</v>
      </c>
      <c r="G135" s="122">
        <v>5</v>
      </c>
      <c r="H135" s="51"/>
    </row>
    <row r="136" spans="1:8" ht="15.75" x14ac:dyDescent="0.25">
      <c r="A136" s="64">
        <v>8</v>
      </c>
      <c r="B136" s="121" t="s">
        <v>244</v>
      </c>
      <c r="C136" s="121" t="s">
        <v>233</v>
      </c>
      <c r="D136" s="53" t="s">
        <v>62</v>
      </c>
      <c r="E136" s="54">
        <v>1</v>
      </c>
      <c r="F136" s="26" t="s">
        <v>55</v>
      </c>
      <c r="G136" s="122">
        <v>4</v>
      </c>
      <c r="H136" s="51"/>
    </row>
    <row r="137" spans="1:8" ht="15.75" x14ac:dyDescent="0.25">
      <c r="A137" s="35">
        <v>9</v>
      </c>
      <c r="B137" s="121" t="s">
        <v>245</v>
      </c>
      <c r="C137" s="121" t="s">
        <v>234</v>
      </c>
      <c r="D137" s="53" t="s">
        <v>62</v>
      </c>
      <c r="E137" s="54">
        <v>1</v>
      </c>
      <c r="F137" s="26" t="s">
        <v>55</v>
      </c>
      <c r="G137" s="122">
        <v>4</v>
      </c>
      <c r="H137" s="51"/>
    </row>
    <row r="138" spans="1:8" ht="31.5" x14ac:dyDescent="0.25">
      <c r="A138" s="64">
        <v>10</v>
      </c>
      <c r="B138" s="102" t="s">
        <v>246</v>
      </c>
      <c r="C138" s="121" t="s">
        <v>235</v>
      </c>
      <c r="D138" s="53" t="s">
        <v>62</v>
      </c>
      <c r="E138" s="54">
        <v>1</v>
      </c>
      <c r="F138" s="26" t="s">
        <v>55</v>
      </c>
      <c r="G138" s="122">
        <v>4</v>
      </c>
      <c r="H138" s="51"/>
    </row>
    <row r="139" spans="1:8" ht="31.5" x14ac:dyDescent="0.25">
      <c r="A139" s="35">
        <v>11</v>
      </c>
      <c r="B139" s="102" t="s">
        <v>246</v>
      </c>
      <c r="C139" s="121" t="s">
        <v>236</v>
      </c>
      <c r="D139" s="53" t="s">
        <v>62</v>
      </c>
      <c r="E139" s="54">
        <v>1</v>
      </c>
      <c r="F139" s="26" t="s">
        <v>55</v>
      </c>
      <c r="G139" s="122">
        <v>4</v>
      </c>
      <c r="H139" s="51"/>
    </row>
    <row r="140" spans="1:8" ht="31.5" x14ac:dyDescent="0.25">
      <c r="A140" s="64">
        <v>12</v>
      </c>
      <c r="B140" s="102" t="s">
        <v>246</v>
      </c>
      <c r="C140" s="121" t="s">
        <v>222</v>
      </c>
      <c r="D140" s="53" t="s">
        <v>62</v>
      </c>
      <c r="E140" s="54">
        <v>1</v>
      </c>
      <c r="F140" s="26" t="s">
        <v>55</v>
      </c>
      <c r="G140" s="122">
        <v>4</v>
      </c>
      <c r="H140" s="51"/>
    </row>
    <row r="141" spans="1:8" ht="31.5" x14ac:dyDescent="0.25">
      <c r="A141" s="35">
        <v>13</v>
      </c>
      <c r="B141" s="102" t="s">
        <v>246</v>
      </c>
      <c r="C141" s="121" t="s">
        <v>237</v>
      </c>
      <c r="D141" s="53" t="s">
        <v>62</v>
      </c>
      <c r="E141" s="54">
        <v>1</v>
      </c>
      <c r="F141" s="26" t="s">
        <v>55</v>
      </c>
      <c r="G141" s="122">
        <v>4</v>
      </c>
      <c r="H141" s="51"/>
    </row>
    <row r="142" spans="1:8" ht="15.75" x14ac:dyDescent="0.25">
      <c r="A142" s="174" t="s">
        <v>188</v>
      </c>
      <c r="B142" s="175"/>
      <c r="C142" s="175"/>
      <c r="D142" s="175"/>
      <c r="E142" s="175"/>
      <c r="F142" s="175"/>
      <c r="G142" s="175"/>
      <c r="H142" s="175"/>
    </row>
    <row r="143" spans="1:8" ht="15.75" x14ac:dyDescent="0.25">
      <c r="A143" s="159" t="s">
        <v>7</v>
      </c>
      <c r="B143" s="160"/>
      <c r="C143" s="160"/>
      <c r="D143" s="160"/>
      <c r="E143" s="160"/>
      <c r="F143" s="160"/>
      <c r="G143" s="160"/>
      <c r="H143" s="161"/>
    </row>
    <row r="144" spans="1:8" ht="15.75" customHeight="1" x14ac:dyDescent="0.25">
      <c r="A144" s="145" t="s">
        <v>198</v>
      </c>
      <c r="B144" s="146"/>
      <c r="C144" s="146"/>
      <c r="D144" s="146"/>
      <c r="E144" s="146"/>
      <c r="F144" s="146"/>
      <c r="G144" s="146"/>
      <c r="H144" s="147"/>
    </row>
    <row r="145" spans="1:8" ht="15.75" customHeight="1" x14ac:dyDescent="0.25">
      <c r="A145" s="145" t="s">
        <v>199</v>
      </c>
      <c r="B145" s="146"/>
      <c r="C145" s="146"/>
      <c r="D145" s="146"/>
      <c r="E145" s="146"/>
      <c r="F145" s="146"/>
      <c r="G145" s="146"/>
      <c r="H145" s="147"/>
    </row>
    <row r="146" spans="1:8" ht="15.75" customHeight="1" x14ac:dyDescent="0.25">
      <c r="A146" s="145" t="s">
        <v>200</v>
      </c>
      <c r="B146" s="146"/>
      <c r="C146" s="146"/>
      <c r="D146" s="146"/>
      <c r="E146" s="146"/>
      <c r="F146" s="146"/>
      <c r="G146" s="146"/>
      <c r="H146" s="147"/>
    </row>
    <row r="147" spans="1:8" ht="15.75" customHeight="1" x14ac:dyDescent="0.25">
      <c r="A147" s="145" t="s">
        <v>201</v>
      </c>
      <c r="B147" s="148"/>
      <c r="C147" s="148"/>
      <c r="D147" s="148"/>
      <c r="E147" s="148"/>
      <c r="F147" s="148"/>
      <c r="G147" s="148"/>
      <c r="H147" s="149"/>
    </row>
    <row r="148" spans="1:8" ht="19.5" customHeight="1" x14ac:dyDescent="0.25">
      <c r="A148" s="145" t="s">
        <v>123</v>
      </c>
      <c r="B148" s="148"/>
      <c r="C148" s="148"/>
      <c r="D148" s="148"/>
      <c r="E148" s="148"/>
      <c r="F148" s="148"/>
      <c r="G148" s="148"/>
      <c r="H148" s="149"/>
    </row>
    <row r="149" spans="1:8" ht="15.75" customHeight="1" x14ac:dyDescent="0.25">
      <c r="A149" s="145" t="s">
        <v>172</v>
      </c>
      <c r="B149" s="148"/>
      <c r="C149" s="148"/>
      <c r="D149" s="148"/>
      <c r="E149" s="148"/>
      <c r="F149" s="148"/>
      <c r="G149" s="148"/>
      <c r="H149" s="149"/>
    </row>
    <row r="150" spans="1:8" ht="15.75" customHeight="1" x14ac:dyDescent="0.25">
      <c r="A150" s="145" t="s">
        <v>202</v>
      </c>
      <c r="B150" s="146"/>
      <c r="C150" s="146"/>
      <c r="D150" s="146"/>
      <c r="E150" s="146"/>
      <c r="F150" s="146"/>
      <c r="G150" s="146"/>
      <c r="H150" s="147"/>
    </row>
    <row r="151" spans="1:8" ht="21.75" customHeight="1" x14ac:dyDescent="0.25">
      <c r="A151" s="145" t="s">
        <v>161</v>
      </c>
      <c r="B151" s="146"/>
      <c r="C151" s="146"/>
      <c r="D151" s="146"/>
      <c r="E151" s="146"/>
      <c r="F151" s="146"/>
      <c r="G151" s="146"/>
      <c r="H151" s="147"/>
    </row>
    <row r="152" spans="1:8" ht="15.75" x14ac:dyDescent="0.25">
      <c r="A152" s="145" t="s">
        <v>112</v>
      </c>
      <c r="B152" s="146"/>
      <c r="C152" s="146"/>
      <c r="D152" s="146"/>
      <c r="E152" s="146"/>
      <c r="F152" s="146"/>
      <c r="G152" s="146"/>
      <c r="H152" s="147"/>
    </row>
    <row r="153" spans="1:8" ht="15.75" x14ac:dyDescent="0.25">
      <c r="A153" s="145" t="s">
        <v>113</v>
      </c>
      <c r="B153" s="146"/>
      <c r="C153" s="146"/>
      <c r="D153" s="146"/>
      <c r="E153" s="146"/>
      <c r="F153" s="146"/>
      <c r="G153" s="146"/>
      <c r="H153" s="147"/>
    </row>
    <row r="154" spans="1:8" ht="15.75" x14ac:dyDescent="0.25">
      <c r="A154" s="145" t="s">
        <v>114</v>
      </c>
      <c r="B154" s="148"/>
      <c r="C154" s="148"/>
      <c r="D154" s="148"/>
      <c r="E154" s="148"/>
      <c r="F154" s="148"/>
      <c r="G154" s="148"/>
      <c r="H154" s="149"/>
    </row>
    <row r="155" spans="1:8" ht="15.75" x14ac:dyDescent="0.25">
      <c r="A155" s="150" t="s">
        <v>203</v>
      </c>
      <c r="B155" s="151"/>
      <c r="C155" s="151"/>
      <c r="D155" s="151"/>
      <c r="E155" s="151"/>
      <c r="F155" s="151"/>
      <c r="G155" s="151"/>
      <c r="H155" s="152"/>
    </row>
    <row r="156" spans="1:8" ht="78.75" x14ac:dyDescent="0.25">
      <c r="A156" s="109" t="s">
        <v>6</v>
      </c>
      <c r="B156" s="19" t="s">
        <v>5</v>
      </c>
      <c r="C156" s="19" t="s">
        <v>4</v>
      </c>
      <c r="D156" s="19" t="s">
        <v>3</v>
      </c>
      <c r="E156" s="19" t="s">
        <v>45</v>
      </c>
      <c r="F156" s="19" t="s">
        <v>1</v>
      </c>
      <c r="G156" s="32" t="s">
        <v>0</v>
      </c>
      <c r="H156" s="110" t="s">
        <v>8</v>
      </c>
    </row>
    <row r="157" spans="1:8" ht="110.25" x14ac:dyDescent="0.25">
      <c r="A157" s="111">
        <v>1</v>
      </c>
      <c r="B157" s="112" t="s">
        <v>188</v>
      </c>
      <c r="C157" s="104" t="s">
        <v>204</v>
      </c>
      <c r="D157" s="115" t="s">
        <v>58</v>
      </c>
      <c r="E157" s="116">
        <v>1</v>
      </c>
      <c r="F157" s="81" t="s">
        <v>55</v>
      </c>
      <c r="G157" s="116">
        <v>1</v>
      </c>
      <c r="H157" s="81"/>
    </row>
    <row r="158" spans="1:8" ht="31.5" x14ac:dyDescent="0.25">
      <c r="A158" s="111">
        <v>2</v>
      </c>
      <c r="B158" s="113" t="s">
        <v>205</v>
      </c>
      <c r="C158" s="104" t="s">
        <v>206</v>
      </c>
      <c r="D158" s="115" t="s">
        <v>58</v>
      </c>
      <c r="E158" s="116">
        <v>1</v>
      </c>
      <c r="F158" s="81" t="s">
        <v>55</v>
      </c>
      <c r="G158" s="116">
        <v>1</v>
      </c>
      <c r="H158" s="81"/>
    </row>
    <row r="159" spans="1:8" ht="15.75" x14ac:dyDescent="0.25">
      <c r="A159" s="111">
        <v>3</v>
      </c>
      <c r="B159" s="113" t="s">
        <v>128</v>
      </c>
      <c r="C159" s="104" t="s">
        <v>207</v>
      </c>
      <c r="D159" s="115" t="s">
        <v>58</v>
      </c>
      <c r="E159" s="116">
        <v>1</v>
      </c>
      <c r="F159" s="81" t="s">
        <v>55</v>
      </c>
      <c r="G159" s="116">
        <v>1</v>
      </c>
      <c r="H159" s="81"/>
    </row>
    <row r="160" spans="1:8" ht="31.5" x14ac:dyDescent="0.25">
      <c r="A160" s="111">
        <v>4</v>
      </c>
      <c r="B160" s="113" t="s">
        <v>129</v>
      </c>
      <c r="C160" s="104" t="s">
        <v>208</v>
      </c>
      <c r="D160" s="115" t="s">
        <v>58</v>
      </c>
      <c r="E160" s="116">
        <v>1</v>
      </c>
      <c r="F160" s="81" t="s">
        <v>55</v>
      </c>
      <c r="G160" s="116">
        <v>1</v>
      </c>
      <c r="H160" s="81"/>
    </row>
    <row r="161" spans="1:8" ht="31.5" x14ac:dyDescent="0.25">
      <c r="A161" s="111">
        <v>5</v>
      </c>
      <c r="B161" s="113" t="s">
        <v>209</v>
      </c>
      <c r="C161" s="104" t="s">
        <v>210</v>
      </c>
      <c r="D161" s="115" t="s">
        <v>58</v>
      </c>
      <c r="E161" s="116">
        <v>1</v>
      </c>
      <c r="F161" s="81" t="s">
        <v>55</v>
      </c>
      <c r="G161" s="116">
        <v>1</v>
      </c>
      <c r="H161" s="81"/>
    </row>
    <row r="162" spans="1:8" ht="31.5" x14ac:dyDescent="0.25">
      <c r="A162" s="111">
        <v>6</v>
      </c>
      <c r="B162" s="114" t="s">
        <v>211</v>
      </c>
      <c r="C162" s="104" t="s">
        <v>212</v>
      </c>
      <c r="D162" s="115" t="s">
        <v>58</v>
      </c>
      <c r="E162" s="116">
        <v>1</v>
      </c>
      <c r="F162" s="81" t="s">
        <v>55</v>
      </c>
      <c r="G162" s="116">
        <v>1</v>
      </c>
      <c r="H162" s="117"/>
    </row>
    <row r="163" spans="1:8" ht="15.75" x14ac:dyDescent="0.25">
      <c r="A163" s="111">
        <v>7</v>
      </c>
      <c r="B163" s="113" t="s">
        <v>213</v>
      </c>
      <c r="C163" s="104" t="s">
        <v>214</v>
      </c>
      <c r="D163" s="115" t="s">
        <v>58</v>
      </c>
      <c r="E163" s="116">
        <v>1</v>
      </c>
      <c r="F163" s="81" t="s">
        <v>55</v>
      </c>
      <c r="G163" s="116">
        <v>1</v>
      </c>
      <c r="H163" s="117"/>
    </row>
    <row r="164" spans="1:8" ht="31.5" x14ac:dyDescent="0.25">
      <c r="A164" s="111">
        <v>8</v>
      </c>
      <c r="B164" s="118" t="s">
        <v>215</v>
      </c>
      <c r="C164" s="104" t="s">
        <v>216</v>
      </c>
      <c r="D164" s="115" t="s">
        <v>62</v>
      </c>
      <c r="E164" s="116">
        <v>1</v>
      </c>
      <c r="F164" s="81" t="s">
        <v>55</v>
      </c>
      <c r="G164" s="116">
        <v>1</v>
      </c>
      <c r="H164" s="117"/>
    </row>
    <row r="165" spans="1:8" ht="15.75" x14ac:dyDescent="0.25">
      <c r="A165" s="111">
        <v>9</v>
      </c>
      <c r="B165" s="118" t="s">
        <v>217</v>
      </c>
      <c r="C165" s="104" t="s">
        <v>218</v>
      </c>
      <c r="D165" s="115" t="s">
        <v>62</v>
      </c>
      <c r="E165" s="116">
        <v>1</v>
      </c>
      <c r="F165" s="81" t="s">
        <v>55</v>
      </c>
      <c r="G165" s="116">
        <v>1</v>
      </c>
      <c r="H165" s="117"/>
    </row>
    <row r="166" spans="1:8" ht="15.75" x14ac:dyDescent="0.25">
      <c r="A166" s="111">
        <v>10</v>
      </c>
      <c r="B166" s="118" t="s">
        <v>219</v>
      </c>
      <c r="C166" s="104" t="s">
        <v>220</v>
      </c>
      <c r="D166" s="115" t="s">
        <v>62</v>
      </c>
      <c r="E166" s="116">
        <v>1</v>
      </c>
      <c r="F166" s="81" t="s">
        <v>55</v>
      </c>
      <c r="G166" s="116">
        <v>1</v>
      </c>
      <c r="H166" s="117"/>
    </row>
    <row r="167" spans="1:8" ht="46.5" customHeight="1" x14ac:dyDescent="0.25">
      <c r="A167" s="111">
        <v>11</v>
      </c>
      <c r="B167" s="118" t="s">
        <v>221</v>
      </c>
      <c r="C167" s="111" t="s">
        <v>222</v>
      </c>
      <c r="D167" s="115" t="s">
        <v>62</v>
      </c>
      <c r="E167" s="116">
        <v>1</v>
      </c>
      <c r="F167" s="81" t="s">
        <v>55</v>
      </c>
      <c r="G167" s="116">
        <v>1</v>
      </c>
      <c r="H167" s="117"/>
    </row>
    <row r="168" spans="1:8" ht="39" customHeight="1" x14ac:dyDescent="0.25">
      <c r="A168" s="111">
        <v>12</v>
      </c>
      <c r="B168" s="118" t="s">
        <v>223</v>
      </c>
      <c r="C168" s="104" t="s">
        <v>336</v>
      </c>
      <c r="D168" s="115" t="s">
        <v>62</v>
      </c>
      <c r="E168" s="116">
        <v>1</v>
      </c>
      <c r="F168" s="81" t="s">
        <v>55</v>
      </c>
      <c r="G168" s="116">
        <v>1</v>
      </c>
      <c r="H168" s="117"/>
    </row>
    <row r="169" spans="1:8" ht="30" customHeight="1" x14ac:dyDescent="0.25">
      <c r="A169" s="111">
        <v>13</v>
      </c>
      <c r="B169" s="118" t="s">
        <v>224</v>
      </c>
      <c r="C169" s="104" t="s">
        <v>335</v>
      </c>
      <c r="D169" s="115" t="s">
        <v>62</v>
      </c>
      <c r="E169" s="116">
        <v>1</v>
      </c>
      <c r="F169" s="81" t="s">
        <v>55</v>
      </c>
      <c r="G169" s="116">
        <v>1</v>
      </c>
      <c r="H169" s="117"/>
    </row>
    <row r="170" spans="1:8" ht="36.75" customHeight="1" x14ac:dyDescent="0.25">
      <c r="A170" s="111">
        <v>14</v>
      </c>
      <c r="B170" s="119" t="s">
        <v>225</v>
      </c>
      <c r="C170" s="104" t="s">
        <v>337</v>
      </c>
      <c r="D170" s="115" t="s">
        <v>62</v>
      </c>
      <c r="E170" s="116">
        <v>1</v>
      </c>
      <c r="F170" s="81" t="s">
        <v>55</v>
      </c>
      <c r="G170" s="116">
        <v>1</v>
      </c>
      <c r="H170" s="117"/>
    </row>
    <row r="171" spans="1:8" ht="15" customHeight="1" x14ac:dyDescent="0.25">
      <c r="A171" s="172" t="s">
        <v>46</v>
      </c>
      <c r="B171" s="173"/>
      <c r="C171" s="173"/>
      <c r="D171" s="173"/>
      <c r="E171" s="173"/>
      <c r="F171" s="173"/>
      <c r="G171" s="173"/>
      <c r="H171" s="173"/>
    </row>
    <row r="172" spans="1:8" ht="15" customHeight="1" x14ac:dyDescent="0.25">
      <c r="A172" s="18" t="s">
        <v>6</v>
      </c>
      <c r="B172" s="20" t="s">
        <v>5</v>
      </c>
      <c r="C172" s="20" t="s">
        <v>4</v>
      </c>
      <c r="D172" s="20" t="s">
        <v>3</v>
      </c>
      <c r="E172" s="20" t="s">
        <v>45</v>
      </c>
      <c r="F172" s="20" t="s">
        <v>1</v>
      </c>
      <c r="G172" s="20" t="s">
        <v>0</v>
      </c>
      <c r="H172" s="20" t="s">
        <v>8</v>
      </c>
    </row>
    <row r="173" spans="1:8" ht="15" customHeight="1" x14ac:dyDescent="0.25">
      <c r="A173" s="37">
        <v>1</v>
      </c>
      <c r="B173" s="28" t="s">
        <v>63</v>
      </c>
      <c r="C173" s="28" t="s">
        <v>66</v>
      </c>
      <c r="D173" s="25" t="s">
        <v>46</v>
      </c>
      <c r="E173" s="57">
        <v>1</v>
      </c>
      <c r="F173" s="57" t="s">
        <v>55</v>
      </c>
      <c r="G173" s="57">
        <v>3</v>
      </c>
      <c r="H173" s="31"/>
    </row>
    <row r="174" spans="1:8" ht="15" customHeight="1" x14ac:dyDescent="0.25">
      <c r="A174" s="22">
        <v>2</v>
      </c>
      <c r="B174" s="28" t="s">
        <v>64</v>
      </c>
      <c r="C174" s="28" t="s">
        <v>65</v>
      </c>
      <c r="D174" s="25" t="s">
        <v>46</v>
      </c>
      <c r="E174" s="57">
        <v>1</v>
      </c>
      <c r="F174" s="57" t="s">
        <v>55</v>
      </c>
      <c r="G174" s="57">
        <v>4</v>
      </c>
      <c r="H174" s="31"/>
    </row>
  </sheetData>
  <mergeCells count="100">
    <mergeCell ref="A66:H66"/>
    <mergeCell ref="A67:H67"/>
    <mergeCell ref="A68:H68"/>
    <mergeCell ref="A69:H69"/>
    <mergeCell ref="A58:H58"/>
    <mergeCell ref="A59:H59"/>
    <mergeCell ref="A60:H60"/>
    <mergeCell ref="A155:H155"/>
    <mergeCell ref="A80:H80"/>
    <mergeCell ref="A128:H128"/>
    <mergeCell ref="A49:H49"/>
    <mergeCell ref="A72:H72"/>
    <mergeCell ref="A73:H73"/>
    <mergeCell ref="A74:H74"/>
    <mergeCell ref="A75:H75"/>
    <mergeCell ref="A105:H105"/>
    <mergeCell ref="A77:H77"/>
    <mergeCell ref="A78:H78"/>
    <mergeCell ref="A79:H79"/>
    <mergeCell ref="A61:H61"/>
    <mergeCell ref="A56:H56"/>
    <mergeCell ref="A57:H57"/>
    <mergeCell ref="A65:H65"/>
    <mergeCell ref="A149:H149"/>
    <mergeCell ref="A151:H151"/>
    <mergeCell ref="A152:H152"/>
    <mergeCell ref="A153:H153"/>
    <mergeCell ref="A154:H154"/>
    <mergeCell ref="A144:H144"/>
    <mergeCell ref="A145:H145"/>
    <mergeCell ref="A146:H146"/>
    <mergeCell ref="A147:H147"/>
    <mergeCell ref="A148:H148"/>
    <mergeCell ref="A171:H171"/>
    <mergeCell ref="A142:H142"/>
    <mergeCell ref="A143:H143"/>
    <mergeCell ref="A104:H104"/>
    <mergeCell ref="A62:H62"/>
    <mergeCell ref="A63:H63"/>
    <mergeCell ref="A64:H64"/>
    <mergeCell ref="A97:H97"/>
    <mergeCell ref="A98:H98"/>
    <mergeCell ref="A99:H99"/>
    <mergeCell ref="A100:H100"/>
    <mergeCell ref="A101:H101"/>
    <mergeCell ref="A102:H102"/>
    <mergeCell ref="A103:H103"/>
    <mergeCell ref="A76:H76"/>
    <mergeCell ref="A150:H150"/>
    <mergeCell ref="A1:H1"/>
    <mergeCell ref="A2:H2"/>
    <mergeCell ref="A6:B6"/>
    <mergeCell ref="C6:H6"/>
    <mergeCell ref="A7:C7"/>
    <mergeCell ref="D7:H7"/>
    <mergeCell ref="A4:H4"/>
    <mergeCell ref="A5:H5"/>
    <mergeCell ref="A3:H3"/>
    <mergeCell ref="A8:B8"/>
    <mergeCell ref="C8:H8"/>
    <mergeCell ref="A9:B9"/>
    <mergeCell ref="C9:D9"/>
    <mergeCell ref="E9:F9"/>
    <mergeCell ref="G9:H9"/>
    <mergeCell ref="A10:B10"/>
    <mergeCell ref="C10:D10"/>
    <mergeCell ref="E10:F10"/>
    <mergeCell ref="G10:H10"/>
    <mergeCell ref="A19:H19"/>
    <mergeCell ref="A13:B13"/>
    <mergeCell ref="C13:H13"/>
    <mergeCell ref="A14:B14"/>
    <mergeCell ref="C14:H14"/>
    <mergeCell ref="A15:H15"/>
    <mergeCell ref="C12:H12"/>
    <mergeCell ref="A12:B12"/>
    <mergeCell ref="A11:B11"/>
    <mergeCell ref="C11:H11"/>
    <mergeCell ref="A20:H20"/>
    <mergeCell ref="A22:H22"/>
    <mergeCell ref="A16:H16"/>
    <mergeCell ref="A17:H17"/>
    <mergeCell ref="A18:H18"/>
    <mergeCell ref="A27:H27"/>
    <mergeCell ref="A28:H28"/>
    <mergeCell ref="A21:H21"/>
    <mergeCell ref="A23:H23"/>
    <mergeCell ref="A24:H24"/>
    <mergeCell ref="A25:H25"/>
    <mergeCell ref="A26:H26"/>
    <mergeCell ref="A107:H107"/>
    <mergeCell ref="A108:H108"/>
    <mergeCell ref="A109:H109"/>
    <mergeCell ref="A110:H110"/>
    <mergeCell ref="A81:H81"/>
    <mergeCell ref="A82:H82"/>
    <mergeCell ref="A83:H83"/>
    <mergeCell ref="A84:H84"/>
    <mergeCell ref="A85:H85"/>
    <mergeCell ref="A106:H106"/>
  </mergeCells>
  <dataValidations count="3">
    <dataValidation allowBlank="1" showInputMessage="1" showErrorMessage="1" error="НЕ добавляйте гиперссылки - это запрещено_x000a_При указании Торговой марки ВСЕГДА указывайте &quot;или аналог&quot;" prompt="НЕ добавляйте гиперссылки - это запрещено_x000a_При указании Торговой марки ВСЕГДА указывайте &quot;или аналог&quot;" sqref="B41 B126:C126" xr:uid="{00000000-0002-0000-0100-000000000000}">
      <formula1>0</formula1>
      <formula2>0</formula2>
    </dataValidation>
    <dataValidation type="list" allowBlank="1" showInputMessage="1" showErrorMessage="1" promptTitle="список" prompt="выберите вид" sqref="D71 D173:D174 D50:D55 D30:D48 D157:D170 D112:D127 D87:D96" xr:uid="{00000000-0002-0000-0100-000001000000}">
      <formula1>список</formula1>
    </dataValidation>
    <dataValidation allowBlank="1" showInputMessage="1" showErrorMessage="1" error="НЕ добавляйте гиперссылки - это запрещено_x000a_При указании Торговой марки ВСЕГДА указывайте &quot;или аналог&quot;" prompt="НЕ добавляйте гиперссылки - это запрещено_x000a_При указании Торговой марки ВСЕГДА указывайте &quot;или аналог&quot;" sqref="C55 C35 B117:C117 B121:C122" xr:uid="{6AFBE62D-ED49-466A-9971-7DB922E5506B}"/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2"/>
  <sheetViews>
    <sheetView tabSelected="1" zoomScaleNormal="150" workbookViewId="0">
      <selection activeCell="A56" sqref="A56:A68"/>
    </sheetView>
  </sheetViews>
  <sheetFormatPr defaultColWidth="14.42578125" defaultRowHeight="15.75" x14ac:dyDescent="0.25"/>
  <cols>
    <col min="1" max="1" width="5.140625" style="15" customWidth="1"/>
    <col min="2" max="2" width="34" style="15" customWidth="1"/>
    <col min="3" max="3" width="44" style="15" customWidth="1"/>
    <col min="4" max="4" width="22" style="15" customWidth="1"/>
    <col min="5" max="5" width="15.42578125" style="15" customWidth="1"/>
    <col min="6" max="6" width="19.7109375" style="15" bestFit="1" customWidth="1"/>
    <col min="7" max="7" width="14.42578125" style="15" customWidth="1"/>
    <col min="8" max="8" width="25" style="15" bestFit="1" customWidth="1"/>
    <col min="9" max="10" width="8.7109375" style="16" customWidth="1"/>
    <col min="11" max="16384" width="14.42578125" style="16"/>
  </cols>
  <sheetData>
    <row r="1" spans="1:8" x14ac:dyDescent="0.25">
      <c r="A1" s="167" t="s">
        <v>27</v>
      </c>
      <c r="B1" s="167"/>
      <c r="C1" s="167"/>
      <c r="D1" s="167"/>
      <c r="E1" s="167"/>
      <c r="F1" s="167"/>
      <c r="G1" s="167"/>
      <c r="H1" s="167"/>
    </row>
    <row r="2" spans="1:8" x14ac:dyDescent="0.25">
      <c r="A2" s="168" t="str">
        <f>'Информация о Чемпионате'!B4</f>
        <v>Итоговый (межрегиональный) этап Чемпионата по профессиональному мастерству "Профессионалы" 2026</v>
      </c>
      <c r="B2" s="168"/>
      <c r="C2" s="168"/>
      <c r="D2" s="168"/>
      <c r="E2" s="168"/>
      <c r="F2" s="168"/>
      <c r="G2" s="168"/>
      <c r="H2" s="168"/>
    </row>
    <row r="3" spans="1:8" x14ac:dyDescent="0.25">
      <c r="A3" s="167" t="s">
        <v>28</v>
      </c>
      <c r="B3" s="167"/>
      <c r="C3" s="167"/>
      <c r="D3" s="167"/>
      <c r="E3" s="167"/>
      <c r="F3" s="167"/>
      <c r="G3" s="167"/>
      <c r="H3" s="167"/>
    </row>
    <row r="4" spans="1:8" x14ac:dyDescent="0.25">
      <c r="A4" s="171" t="str">
        <f>'Информация о Чемпионате'!B3</f>
        <v>Основная</v>
      </c>
      <c r="B4" s="171"/>
      <c r="C4" s="171"/>
      <c r="D4" s="171"/>
      <c r="E4" s="171"/>
      <c r="F4" s="171"/>
      <c r="G4" s="171"/>
      <c r="H4" s="171"/>
    </row>
    <row r="5" spans="1:8" x14ac:dyDescent="0.25">
      <c r="A5" s="162" t="s">
        <v>9</v>
      </c>
      <c r="B5" s="156"/>
      <c r="C5" s="156"/>
      <c r="D5" s="156"/>
      <c r="E5" s="156"/>
      <c r="F5" s="156"/>
      <c r="G5" s="156"/>
      <c r="H5" s="156"/>
    </row>
    <row r="6" spans="1:8" x14ac:dyDescent="0.25">
      <c r="A6" s="162" t="s">
        <v>25</v>
      </c>
      <c r="B6" s="162"/>
      <c r="C6" s="169" t="str">
        <f>'Информация о Чемпионате'!B5</f>
        <v>Свердловская область</v>
      </c>
      <c r="D6" s="169"/>
      <c r="E6" s="169"/>
      <c r="F6" s="169"/>
      <c r="G6" s="169"/>
      <c r="H6" s="169"/>
    </row>
    <row r="7" spans="1:8" x14ac:dyDescent="0.25">
      <c r="A7" s="162" t="s">
        <v>26</v>
      </c>
      <c r="B7" s="162"/>
      <c r="C7" s="162"/>
      <c r="D7" s="169" t="str">
        <f>'Информация о Чемпионате'!B6</f>
        <v>ГАПОУ СО "Екатеринбургский экономико-технологический колледж"</v>
      </c>
      <c r="E7" s="169"/>
      <c r="F7" s="169"/>
      <c r="G7" s="169"/>
      <c r="H7" s="169"/>
    </row>
    <row r="8" spans="1:8" x14ac:dyDescent="0.25">
      <c r="A8" s="162" t="s">
        <v>22</v>
      </c>
      <c r="B8" s="162"/>
      <c r="C8" s="162" t="str">
        <f>'Информация о Чемпионате'!B7</f>
        <v>г. Екатеринбург, ул. Проспект космонавтов 50</v>
      </c>
      <c r="D8" s="162"/>
      <c r="E8" s="162"/>
      <c r="F8" s="162"/>
      <c r="G8" s="162"/>
      <c r="H8" s="162"/>
    </row>
    <row r="9" spans="1:8" x14ac:dyDescent="0.25">
      <c r="A9" s="162" t="s">
        <v>24</v>
      </c>
      <c r="B9" s="162"/>
      <c r="C9" s="162" t="str">
        <f>'Информация о Чемпионате'!B9</f>
        <v>Кривоносова Наталья Викторовна</v>
      </c>
      <c r="D9" s="162"/>
      <c r="E9" s="162" t="str">
        <f>'Информация о Чемпионате'!B10</f>
        <v>nvkrivonosowa@mail.ru</v>
      </c>
      <c r="F9" s="162"/>
      <c r="G9" s="162" t="str">
        <f>'Информация о Чемпионате'!B11</f>
        <v>+7-952-385-42-25</v>
      </c>
      <c r="H9" s="162"/>
    </row>
    <row r="10" spans="1:8" ht="15.75" customHeight="1" x14ac:dyDescent="0.25">
      <c r="A10" s="162" t="s">
        <v>32</v>
      </c>
      <c r="B10" s="162"/>
      <c r="C10" s="162" t="str">
        <f>'Информация о Чемпионате'!B12</f>
        <v>Гайткулов Николай Валентинович</v>
      </c>
      <c r="D10" s="162"/>
      <c r="E10" s="162" t="str">
        <f>'Информация о Чемпионате'!B13</f>
        <v>kvozar@live.ru</v>
      </c>
      <c r="F10" s="162"/>
      <c r="G10" s="162" t="str">
        <f>'Информация о Чемпионате'!B14</f>
        <v>+7-953-055-09-80</v>
      </c>
      <c r="H10" s="162"/>
    </row>
    <row r="11" spans="1:8" ht="15.75" customHeight="1" x14ac:dyDescent="0.25">
      <c r="A11" s="162" t="s">
        <v>37</v>
      </c>
      <c r="B11" s="162"/>
      <c r="C11" s="162">
        <f>'Информация о Чемпионате'!B17</f>
        <v>0</v>
      </c>
      <c r="D11" s="162"/>
      <c r="E11" s="162"/>
      <c r="F11" s="162"/>
      <c r="G11" s="162"/>
      <c r="H11" s="162"/>
    </row>
    <row r="12" spans="1:8" x14ac:dyDescent="0.25">
      <c r="A12" s="162" t="s">
        <v>44</v>
      </c>
      <c r="B12" s="162"/>
      <c r="C12" s="162">
        <f>'Информация о Чемпионате'!B15</f>
        <v>30</v>
      </c>
      <c r="D12" s="162"/>
      <c r="E12" s="162"/>
      <c r="F12" s="162"/>
      <c r="G12" s="162"/>
      <c r="H12" s="162"/>
    </row>
    <row r="13" spans="1:8" x14ac:dyDescent="0.25">
      <c r="A13" s="162" t="s">
        <v>16</v>
      </c>
      <c r="B13" s="162"/>
      <c r="C13" s="162">
        <f>'Информация о Чемпионате'!B16</f>
        <v>30</v>
      </c>
      <c r="D13" s="162"/>
      <c r="E13" s="162"/>
      <c r="F13" s="162"/>
      <c r="G13" s="162"/>
      <c r="H13" s="162"/>
    </row>
    <row r="14" spans="1:8" x14ac:dyDescent="0.25">
      <c r="A14" s="162" t="s">
        <v>23</v>
      </c>
      <c r="B14" s="162"/>
      <c r="C14" s="162" t="str">
        <f>'Информация о Чемпионате'!B8</f>
        <v>13.04.2026-19.04.2026</v>
      </c>
      <c r="D14" s="162"/>
      <c r="E14" s="162"/>
      <c r="F14" s="162"/>
      <c r="G14" s="162"/>
      <c r="H14" s="162"/>
    </row>
    <row r="15" spans="1:8" x14ac:dyDescent="0.25">
      <c r="A15" s="174" t="s">
        <v>33</v>
      </c>
      <c r="B15" s="175"/>
      <c r="C15" s="175"/>
      <c r="D15" s="175"/>
      <c r="E15" s="175"/>
      <c r="F15" s="175"/>
      <c r="G15" s="175"/>
      <c r="H15" s="175"/>
    </row>
    <row r="16" spans="1:8" x14ac:dyDescent="0.25">
      <c r="A16" s="182" t="s">
        <v>7</v>
      </c>
      <c r="B16" s="160"/>
      <c r="C16" s="160"/>
      <c r="D16" s="160"/>
      <c r="E16" s="160"/>
      <c r="F16" s="160"/>
      <c r="G16" s="160"/>
      <c r="H16" s="161"/>
    </row>
    <row r="17" spans="1:17" ht="15.75" customHeight="1" x14ac:dyDescent="0.25">
      <c r="A17" s="145" t="s">
        <v>247</v>
      </c>
      <c r="B17" s="146"/>
      <c r="C17" s="146"/>
      <c r="D17" s="146"/>
      <c r="E17" s="146"/>
      <c r="F17" s="146"/>
      <c r="G17" s="146"/>
      <c r="H17" s="147"/>
    </row>
    <row r="18" spans="1:17" ht="15.75" customHeight="1" x14ac:dyDescent="0.25">
      <c r="A18" s="145" t="s">
        <v>155</v>
      </c>
      <c r="B18" s="146"/>
      <c r="C18" s="146"/>
      <c r="D18" s="146"/>
      <c r="E18" s="146"/>
      <c r="F18" s="146"/>
      <c r="G18" s="146"/>
      <c r="H18" s="147"/>
    </row>
    <row r="19" spans="1:17" ht="15.75" customHeight="1" x14ac:dyDescent="0.25">
      <c r="A19" s="145" t="s">
        <v>248</v>
      </c>
      <c r="B19" s="146"/>
      <c r="C19" s="146"/>
      <c r="D19" s="146"/>
      <c r="E19" s="146"/>
      <c r="F19" s="146"/>
      <c r="G19" s="146"/>
      <c r="H19" s="147"/>
    </row>
    <row r="20" spans="1:17" ht="15.75" customHeight="1" x14ac:dyDescent="0.25">
      <c r="A20" s="184" t="s">
        <v>250</v>
      </c>
      <c r="B20" s="153"/>
      <c r="C20" s="153"/>
      <c r="D20" s="153"/>
      <c r="E20" s="153"/>
      <c r="F20" s="153"/>
      <c r="G20" s="153"/>
      <c r="H20" s="154"/>
      <c r="K20" s="156"/>
      <c r="L20" s="156"/>
      <c r="M20" s="156"/>
      <c r="N20" s="156"/>
      <c r="O20" s="156"/>
      <c r="P20" s="156"/>
      <c r="Q20" s="183"/>
    </row>
    <row r="21" spans="1:17" ht="15.75" customHeight="1" x14ac:dyDescent="0.25">
      <c r="A21" s="184" t="s">
        <v>251</v>
      </c>
      <c r="B21" s="153"/>
      <c r="C21" s="153"/>
      <c r="D21" s="153"/>
      <c r="E21" s="153"/>
      <c r="F21" s="153"/>
      <c r="G21" s="153"/>
      <c r="H21" s="154"/>
    </row>
    <row r="22" spans="1:17" ht="15.75" customHeight="1" x14ac:dyDescent="0.25">
      <c r="A22" s="184" t="s">
        <v>252</v>
      </c>
      <c r="B22" s="156"/>
      <c r="C22" s="156"/>
      <c r="D22" s="156"/>
      <c r="E22" s="156"/>
      <c r="F22" s="156"/>
      <c r="G22" s="156"/>
      <c r="H22" s="157"/>
    </row>
    <row r="23" spans="1:17" ht="15.75" customHeight="1" x14ac:dyDescent="0.25">
      <c r="A23" s="145" t="s">
        <v>160</v>
      </c>
      <c r="B23" s="146"/>
      <c r="C23" s="146"/>
      <c r="D23" s="146"/>
      <c r="E23" s="146"/>
      <c r="F23" s="146"/>
      <c r="G23" s="146"/>
      <c r="H23" s="147"/>
    </row>
    <row r="24" spans="1:17" x14ac:dyDescent="0.25">
      <c r="A24" s="145" t="s">
        <v>167</v>
      </c>
      <c r="B24" s="146"/>
      <c r="C24" s="146"/>
      <c r="D24" s="146"/>
      <c r="E24" s="146"/>
      <c r="F24" s="146"/>
      <c r="G24" s="146"/>
      <c r="H24" s="147"/>
    </row>
    <row r="25" spans="1:17" ht="15.75" customHeight="1" x14ac:dyDescent="0.25">
      <c r="A25" s="145" t="s">
        <v>253</v>
      </c>
      <c r="B25" s="148"/>
      <c r="C25" s="148"/>
      <c r="D25" s="148"/>
      <c r="E25" s="148"/>
      <c r="F25" s="148"/>
      <c r="G25" s="148"/>
      <c r="H25" s="149"/>
      <c r="K25" s="146"/>
      <c r="L25" s="146"/>
      <c r="M25" s="146"/>
      <c r="N25" s="146"/>
      <c r="O25" s="146"/>
      <c r="P25" s="146"/>
      <c r="Q25" s="147"/>
    </row>
    <row r="26" spans="1:17" x14ac:dyDescent="0.25">
      <c r="A26" s="145" t="s">
        <v>113</v>
      </c>
      <c r="B26" s="146"/>
      <c r="C26" s="146"/>
      <c r="D26" s="146"/>
      <c r="E26" s="146"/>
      <c r="F26" s="146"/>
      <c r="G26" s="146"/>
      <c r="H26" s="147"/>
    </row>
    <row r="27" spans="1:17" x14ac:dyDescent="0.25">
      <c r="A27" s="145" t="s">
        <v>114</v>
      </c>
      <c r="B27" s="148"/>
      <c r="C27" s="148"/>
      <c r="D27" s="148"/>
      <c r="E27" s="148"/>
      <c r="F27" s="148"/>
      <c r="G27" s="148"/>
      <c r="H27" s="149"/>
    </row>
    <row r="28" spans="1:17" x14ac:dyDescent="0.25">
      <c r="A28" s="185" t="s">
        <v>203</v>
      </c>
      <c r="B28" s="186"/>
      <c r="C28" s="186"/>
      <c r="D28" s="186"/>
      <c r="E28" s="186"/>
      <c r="F28" s="186"/>
      <c r="G28" s="186"/>
      <c r="H28" s="187"/>
    </row>
    <row r="29" spans="1:17" ht="78.75" x14ac:dyDescent="0.25">
      <c r="A29" s="19" t="s">
        <v>6</v>
      </c>
      <c r="B29" s="19" t="s">
        <v>5</v>
      </c>
      <c r="C29" s="19" t="s">
        <v>4</v>
      </c>
      <c r="D29" s="19" t="s">
        <v>3</v>
      </c>
      <c r="E29" s="19" t="s">
        <v>48</v>
      </c>
      <c r="F29" s="19" t="s">
        <v>1</v>
      </c>
      <c r="G29" s="19" t="s">
        <v>0</v>
      </c>
      <c r="H29" s="19" t="s">
        <v>8</v>
      </c>
    </row>
    <row r="30" spans="1:17" ht="68.25" customHeight="1" x14ac:dyDescent="0.25">
      <c r="A30" s="81">
        <v>1</v>
      </c>
      <c r="B30" s="105" t="s">
        <v>254</v>
      </c>
      <c r="C30" s="119" t="s">
        <v>121</v>
      </c>
      <c r="D30" s="124" t="s">
        <v>58</v>
      </c>
      <c r="E30" s="125">
        <v>1</v>
      </c>
      <c r="F30" s="124" t="s">
        <v>55</v>
      </c>
      <c r="G30" s="124">
        <v>30</v>
      </c>
      <c r="H30" s="43"/>
    </row>
    <row r="31" spans="1:17" ht="48.75" customHeight="1" x14ac:dyDescent="0.25">
      <c r="A31" s="81">
        <v>2</v>
      </c>
      <c r="B31" s="105" t="s">
        <v>179</v>
      </c>
      <c r="C31" s="126" t="s">
        <v>122</v>
      </c>
      <c r="D31" s="124" t="s">
        <v>58</v>
      </c>
      <c r="E31" s="125">
        <v>2</v>
      </c>
      <c r="F31" s="124" t="s">
        <v>55</v>
      </c>
      <c r="G31" s="124">
        <v>60</v>
      </c>
      <c r="H31" s="43"/>
    </row>
    <row r="32" spans="1:17" ht="16.5" customHeight="1" x14ac:dyDescent="0.25">
      <c r="A32" s="81">
        <v>3</v>
      </c>
      <c r="B32" s="105" t="s">
        <v>126</v>
      </c>
      <c r="C32" s="127" t="s">
        <v>127</v>
      </c>
      <c r="D32" s="124" t="s">
        <v>58</v>
      </c>
      <c r="E32" s="125">
        <v>1</v>
      </c>
      <c r="F32" s="124" t="s">
        <v>55</v>
      </c>
      <c r="G32" s="124">
        <v>30</v>
      </c>
      <c r="H32" s="43"/>
    </row>
    <row r="33" spans="1:8" ht="31.5" x14ac:dyDescent="0.25">
      <c r="A33" s="81">
        <v>4</v>
      </c>
      <c r="B33" s="105" t="s">
        <v>129</v>
      </c>
      <c r="C33" s="119" t="s">
        <v>130</v>
      </c>
      <c r="D33" s="124" t="s">
        <v>94</v>
      </c>
      <c r="E33" s="125">
        <v>1</v>
      </c>
      <c r="F33" s="124" t="s">
        <v>55</v>
      </c>
      <c r="G33" s="124">
        <v>30</v>
      </c>
      <c r="H33" s="43"/>
    </row>
    <row r="34" spans="1:8" ht="108.75" customHeight="1" x14ac:dyDescent="0.25">
      <c r="A34" s="81">
        <v>5</v>
      </c>
      <c r="B34" s="102" t="s">
        <v>141</v>
      </c>
      <c r="C34" s="104" t="s">
        <v>142</v>
      </c>
      <c r="D34" s="124" t="s">
        <v>51</v>
      </c>
      <c r="E34" s="81">
        <v>1</v>
      </c>
      <c r="F34" s="124" t="s">
        <v>55</v>
      </c>
      <c r="G34" s="81">
        <v>30</v>
      </c>
      <c r="H34" s="43"/>
    </row>
    <row r="35" spans="1:8" x14ac:dyDescent="0.25">
      <c r="A35" s="81">
        <v>6</v>
      </c>
      <c r="B35" s="102" t="s">
        <v>144</v>
      </c>
      <c r="C35" s="104" t="s">
        <v>145</v>
      </c>
      <c r="D35" s="26" t="s">
        <v>51</v>
      </c>
      <c r="E35" s="43">
        <v>1</v>
      </c>
      <c r="F35" s="124" t="s">
        <v>55</v>
      </c>
      <c r="G35" s="43">
        <v>30</v>
      </c>
      <c r="H35" s="43"/>
    </row>
    <row r="36" spans="1:8" x14ac:dyDescent="0.25">
      <c r="A36" s="177" t="s">
        <v>56</v>
      </c>
      <c r="B36" s="178"/>
      <c r="C36" s="178"/>
      <c r="D36" s="178"/>
      <c r="E36" s="178"/>
      <c r="F36" s="178"/>
      <c r="G36" s="178"/>
      <c r="H36" s="179"/>
    </row>
    <row r="37" spans="1:8" x14ac:dyDescent="0.25">
      <c r="A37" s="52">
        <v>1</v>
      </c>
      <c r="B37" s="102" t="s">
        <v>238</v>
      </c>
      <c r="C37" s="120" t="s">
        <v>227</v>
      </c>
      <c r="D37" s="25" t="s">
        <v>62</v>
      </c>
      <c r="E37" s="43">
        <v>1</v>
      </c>
      <c r="F37" s="124" t="s">
        <v>55</v>
      </c>
      <c r="G37" s="43">
        <v>30</v>
      </c>
      <c r="H37" s="27"/>
    </row>
    <row r="38" spans="1:8" ht="31.5" customHeight="1" x14ac:dyDescent="0.25">
      <c r="A38" s="52">
        <v>2</v>
      </c>
      <c r="B38" s="102" t="s">
        <v>239</v>
      </c>
      <c r="C38" s="105" t="s">
        <v>228</v>
      </c>
      <c r="D38" s="25" t="s">
        <v>62</v>
      </c>
      <c r="E38" s="43">
        <v>1</v>
      </c>
      <c r="F38" s="124" t="s">
        <v>55</v>
      </c>
      <c r="G38" s="43">
        <v>30</v>
      </c>
      <c r="H38" s="27"/>
    </row>
    <row r="39" spans="1:8" x14ac:dyDescent="0.25">
      <c r="A39" s="52">
        <v>3</v>
      </c>
      <c r="B39" s="102" t="s">
        <v>255</v>
      </c>
      <c r="C39" s="111" t="s">
        <v>291</v>
      </c>
      <c r="D39" s="25" t="s">
        <v>62</v>
      </c>
      <c r="E39" s="43">
        <v>1</v>
      </c>
      <c r="F39" s="124" t="s">
        <v>55</v>
      </c>
      <c r="G39" s="43">
        <v>30</v>
      </c>
      <c r="H39" s="27"/>
    </row>
    <row r="40" spans="1:8" x14ac:dyDescent="0.25">
      <c r="A40" s="52">
        <v>4</v>
      </c>
      <c r="B40" s="102" t="s">
        <v>241</v>
      </c>
      <c r="C40" s="105" t="s">
        <v>292</v>
      </c>
      <c r="D40" s="25" t="s">
        <v>62</v>
      </c>
      <c r="E40" s="43">
        <v>1</v>
      </c>
      <c r="F40" s="124" t="s">
        <v>55</v>
      </c>
      <c r="G40" s="43">
        <v>30</v>
      </c>
      <c r="H40" s="27"/>
    </row>
    <row r="41" spans="1:8" x14ac:dyDescent="0.25">
      <c r="A41" s="52">
        <v>5</v>
      </c>
      <c r="B41" s="102" t="s">
        <v>242</v>
      </c>
      <c r="C41" s="105" t="s">
        <v>293</v>
      </c>
      <c r="D41" s="25" t="s">
        <v>62</v>
      </c>
      <c r="E41" s="43">
        <v>1</v>
      </c>
      <c r="F41" s="124" t="s">
        <v>55</v>
      </c>
      <c r="G41" s="43">
        <v>30</v>
      </c>
      <c r="H41" s="27"/>
    </row>
    <row r="42" spans="1:8" x14ac:dyDescent="0.25">
      <c r="A42" s="52">
        <v>6</v>
      </c>
      <c r="B42" s="102" t="s">
        <v>256</v>
      </c>
      <c r="C42" s="105" t="s">
        <v>294</v>
      </c>
      <c r="D42" s="25" t="s">
        <v>62</v>
      </c>
      <c r="E42" s="43">
        <v>1</v>
      </c>
      <c r="F42" s="124" t="s">
        <v>55</v>
      </c>
      <c r="G42" s="43">
        <v>30</v>
      </c>
      <c r="H42" s="27"/>
    </row>
    <row r="43" spans="1:8" x14ac:dyDescent="0.25">
      <c r="A43" s="52">
        <v>7</v>
      </c>
      <c r="B43" s="102" t="s">
        <v>257</v>
      </c>
      <c r="C43" s="111" t="s">
        <v>295</v>
      </c>
      <c r="D43" s="25" t="s">
        <v>62</v>
      </c>
      <c r="E43" s="43">
        <v>1</v>
      </c>
      <c r="F43" s="124" t="s">
        <v>55</v>
      </c>
      <c r="G43" s="43">
        <v>30</v>
      </c>
      <c r="H43" s="27"/>
    </row>
    <row r="44" spans="1:8" ht="111.75" customHeight="1" x14ac:dyDescent="0.25">
      <c r="A44" s="52">
        <v>8</v>
      </c>
      <c r="B44" s="102" t="s">
        <v>258</v>
      </c>
      <c r="C44" s="121" t="s">
        <v>259</v>
      </c>
      <c r="D44" s="25" t="s">
        <v>62</v>
      </c>
      <c r="E44" s="43">
        <v>1</v>
      </c>
      <c r="F44" s="124" t="s">
        <v>55</v>
      </c>
      <c r="G44" s="43">
        <v>30</v>
      </c>
      <c r="H44" s="27"/>
    </row>
    <row r="45" spans="1:8" ht="409.5" x14ac:dyDescent="0.25">
      <c r="A45" s="52">
        <v>9</v>
      </c>
      <c r="B45" s="128" t="s">
        <v>260</v>
      </c>
      <c r="C45" s="137" t="s">
        <v>312</v>
      </c>
      <c r="D45" s="25" t="s">
        <v>62</v>
      </c>
      <c r="E45" s="43">
        <v>1</v>
      </c>
      <c r="F45" s="124" t="s">
        <v>55</v>
      </c>
      <c r="G45" s="43">
        <v>30</v>
      </c>
      <c r="H45" s="27"/>
    </row>
    <row r="46" spans="1:8" x14ac:dyDescent="0.25">
      <c r="A46" s="52">
        <v>10</v>
      </c>
      <c r="B46" s="102" t="s">
        <v>261</v>
      </c>
      <c r="C46" s="60" t="s">
        <v>278</v>
      </c>
      <c r="D46" s="25" t="s">
        <v>62</v>
      </c>
      <c r="E46" s="43">
        <v>1</v>
      </c>
      <c r="F46" s="124" t="s">
        <v>55</v>
      </c>
      <c r="G46" s="43">
        <v>30</v>
      </c>
      <c r="H46" s="27"/>
    </row>
    <row r="47" spans="1:8" ht="31.5" x14ac:dyDescent="0.25">
      <c r="A47" s="52">
        <v>11</v>
      </c>
      <c r="B47" s="102" t="s">
        <v>261</v>
      </c>
      <c r="C47" s="60" t="s">
        <v>279</v>
      </c>
      <c r="D47" s="25" t="s">
        <v>62</v>
      </c>
      <c r="E47" s="43">
        <v>1</v>
      </c>
      <c r="F47" s="124" t="s">
        <v>55</v>
      </c>
      <c r="G47" s="43">
        <v>30</v>
      </c>
      <c r="H47" s="27"/>
    </row>
    <row r="48" spans="1:8" x14ac:dyDescent="0.25">
      <c r="A48" s="52">
        <v>12</v>
      </c>
      <c r="B48" s="102" t="s">
        <v>261</v>
      </c>
      <c r="C48" s="60" t="s">
        <v>280</v>
      </c>
      <c r="D48" s="25" t="s">
        <v>62</v>
      </c>
      <c r="E48" s="43">
        <v>1</v>
      </c>
      <c r="F48" s="124" t="s">
        <v>55</v>
      </c>
      <c r="G48" s="43">
        <v>30</v>
      </c>
      <c r="H48" s="27"/>
    </row>
    <row r="49" spans="1:8" x14ac:dyDescent="0.25">
      <c r="A49" s="52">
        <v>13</v>
      </c>
      <c r="B49" s="102" t="s">
        <v>261</v>
      </c>
      <c r="C49" s="60" t="s">
        <v>281</v>
      </c>
      <c r="D49" s="25" t="s">
        <v>62</v>
      </c>
      <c r="E49" s="43">
        <v>1</v>
      </c>
      <c r="F49" s="124" t="s">
        <v>55</v>
      </c>
      <c r="G49" s="43">
        <v>30</v>
      </c>
      <c r="H49" s="27"/>
    </row>
    <row r="50" spans="1:8" x14ac:dyDescent="0.25">
      <c r="A50" s="52">
        <v>14</v>
      </c>
      <c r="B50" s="102" t="s">
        <v>261</v>
      </c>
      <c r="C50" s="60" t="s">
        <v>282</v>
      </c>
      <c r="D50" s="25" t="s">
        <v>62</v>
      </c>
      <c r="E50" s="43">
        <v>1</v>
      </c>
      <c r="F50" s="124" t="s">
        <v>55</v>
      </c>
      <c r="G50" s="43">
        <v>30</v>
      </c>
      <c r="H50" s="27"/>
    </row>
    <row r="51" spans="1:8" ht="31.5" x14ac:dyDescent="0.25">
      <c r="A51" s="52">
        <v>15</v>
      </c>
      <c r="B51" s="102" t="s">
        <v>261</v>
      </c>
      <c r="C51" s="60" t="s">
        <v>283</v>
      </c>
      <c r="D51" s="25" t="s">
        <v>62</v>
      </c>
      <c r="E51" s="43">
        <v>1</v>
      </c>
      <c r="F51" s="124" t="s">
        <v>55</v>
      </c>
      <c r="G51" s="43">
        <v>30</v>
      </c>
      <c r="H51" s="27"/>
    </row>
    <row r="52" spans="1:8" ht="47.25" x14ac:dyDescent="0.25">
      <c r="A52" s="52">
        <v>16</v>
      </c>
      <c r="B52" s="121" t="s">
        <v>262</v>
      </c>
      <c r="C52" s="121" t="s">
        <v>297</v>
      </c>
      <c r="D52" s="25" t="s">
        <v>62</v>
      </c>
      <c r="E52" s="43">
        <v>1</v>
      </c>
      <c r="F52" s="124" t="s">
        <v>55</v>
      </c>
      <c r="G52" s="43">
        <v>30</v>
      </c>
      <c r="H52" s="27"/>
    </row>
    <row r="53" spans="1:8" ht="31.5" x14ac:dyDescent="0.25">
      <c r="A53" s="52">
        <v>17</v>
      </c>
      <c r="B53" s="102" t="s">
        <v>261</v>
      </c>
      <c r="C53" s="121" t="s">
        <v>263</v>
      </c>
      <c r="D53" s="25" t="s">
        <v>62</v>
      </c>
      <c r="E53" s="43">
        <v>1</v>
      </c>
      <c r="F53" s="124" t="s">
        <v>55</v>
      </c>
      <c r="G53" s="43">
        <v>30</v>
      </c>
      <c r="H53" s="27"/>
    </row>
    <row r="54" spans="1:8" ht="31.5" x14ac:dyDescent="0.25">
      <c r="A54" s="52">
        <v>18</v>
      </c>
      <c r="B54" s="102" t="s">
        <v>260</v>
      </c>
      <c r="C54" s="121" t="s">
        <v>264</v>
      </c>
      <c r="D54" s="25" t="s">
        <v>62</v>
      </c>
      <c r="E54" s="43">
        <v>1</v>
      </c>
      <c r="F54" s="124" t="s">
        <v>55</v>
      </c>
      <c r="G54" s="43">
        <v>30</v>
      </c>
      <c r="H54" s="27"/>
    </row>
    <row r="55" spans="1:8" ht="31.5" x14ac:dyDescent="0.25">
      <c r="A55" s="52">
        <v>19</v>
      </c>
      <c r="B55" s="102" t="s">
        <v>260</v>
      </c>
      <c r="C55" s="121" t="s">
        <v>265</v>
      </c>
      <c r="D55" s="25" t="s">
        <v>62</v>
      </c>
      <c r="E55" s="43">
        <v>1</v>
      </c>
      <c r="F55" s="124" t="s">
        <v>55</v>
      </c>
      <c r="G55" s="43">
        <v>30</v>
      </c>
      <c r="H55" s="27"/>
    </row>
    <row r="56" spans="1:8" ht="78.75" x14ac:dyDescent="0.25">
      <c r="A56" s="52">
        <v>20</v>
      </c>
      <c r="B56" s="121" t="s">
        <v>262</v>
      </c>
      <c r="C56" s="121" t="s">
        <v>266</v>
      </c>
      <c r="D56" s="25" t="s">
        <v>62</v>
      </c>
      <c r="E56" s="43">
        <v>1</v>
      </c>
      <c r="F56" s="124" t="s">
        <v>55</v>
      </c>
      <c r="G56" s="43">
        <v>30</v>
      </c>
      <c r="H56" s="27"/>
    </row>
    <row r="57" spans="1:8" ht="31.5" x14ac:dyDescent="0.25">
      <c r="A57" s="52">
        <v>21</v>
      </c>
      <c r="B57" s="102" t="s">
        <v>267</v>
      </c>
      <c r="C57" s="121" t="s">
        <v>268</v>
      </c>
      <c r="D57" s="25" t="s">
        <v>62</v>
      </c>
      <c r="E57" s="43">
        <v>1</v>
      </c>
      <c r="F57" s="124" t="s">
        <v>55</v>
      </c>
      <c r="G57" s="43">
        <v>30</v>
      </c>
      <c r="H57" s="27"/>
    </row>
    <row r="58" spans="1:8" ht="126" x14ac:dyDescent="0.25">
      <c r="A58" s="52">
        <v>22</v>
      </c>
      <c r="B58" s="121" t="s">
        <v>269</v>
      </c>
      <c r="C58" s="121" t="s">
        <v>296</v>
      </c>
      <c r="D58" s="25" t="s">
        <v>62</v>
      </c>
      <c r="E58" s="43">
        <v>1</v>
      </c>
      <c r="F58" s="124" t="s">
        <v>55</v>
      </c>
      <c r="G58" s="43">
        <v>30</v>
      </c>
      <c r="H58" s="27"/>
    </row>
    <row r="59" spans="1:8" ht="31.5" x14ac:dyDescent="0.25">
      <c r="A59" s="52">
        <v>23</v>
      </c>
      <c r="B59" s="102" t="s">
        <v>270</v>
      </c>
      <c r="C59" s="121" t="s">
        <v>271</v>
      </c>
      <c r="D59" s="25" t="s">
        <v>62</v>
      </c>
      <c r="E59" s="43">
        <v>1</v>
      </c>
      <c r="F59" s="124" t="s">
        <v>55</v>
      </c>
      <c r="G59" s="43">
        <v>30</v>
      </c>
      <c r="H59" s="27"/>
    </row>
    <row r="60" spans="1:8" ht="31.5" x14ac:dyDescent="0.25">
      <c r="A60" s="52">
        <v>24</v>
      </c>
      <c r="B60" s="102" t="s">
        <v>270</v>
      </c>
      <c r="C60" s="121" t="s">
        <v>272</v>
      </c>
      <c r="D60" s="25" t="s">
        <v>62</v>
      </c>
      <c r="E60" s="43">
        <v>1</v>
      </c>
      <c r="F60" s="124" t="s">
        <v>55</v>
      </c>
      <c r="G60" s="43">
        <v>30</v>
      </c>
      <c r="H60" s="27"/>
    </row>
    <row r="61" spans="1:8" x14ac:dyDescent="0.25">
      <c r="A61" s="52">
        <v>25</v>
      </c>
      <c r="B61" s="121" t="s">
        <v>273</v>
      </c>
      <c r="C61" s="121" t="s">
        <v>284</v>
      </c>
      <c r="D61" s="25" t="s">
        <v>62</v>
      </c>
      <c r="E61" s="43">
        <v>1</v>
      </c>
      <c r="F61" s="124" t="s">
        <v>55</v>
      </c>
      <c r="G61" s="43">
        <v>30</v>
      </c>
      <c r="H61" s="27"/>
    </row>
    <row r="62" spans="1:8" x14ac:dyDescent="0.25">
      <c r="A62" s="52">
        <v>26</v>
      </c>
      <c r="B62" s="121" t="s">
        <v>274</v>
      </c>
      <c r="C62" s="121" t="s">
        <v>285</v>
      </c>
      <c r="D62" s="25" t="s">
        <v>62</v>
      </c>
      <c r="E62" s="43">
        <v>1</v>
      </c>
      <c r="F62" s="124" t="s">
        <v>55</v>
      </c>
      <c r="G62" s="43">
        <v>30</v>
      </c>
      <c r="H62" s="66"/>
    </row>
    <row r="63" spans="1:8" ht="31.5" x14ac:dyDescent="0.25">
      <c r="A63" s="52">
        <v>27</v>
      </c>
      <c r="B63" s="102" t="s">
        <v>246</v>
      </c>
      <c r="C63" s="121" t="s">
        <v>286</v>
      </c>
      <c r="D63" s="25" t="s">
        <v>62</v>
      </c>
      <c r="E63" s="43">
        <v>1</v>
      </c>
      <c r="F63" s="124" t="s">
        <v>55</v>
      </c>
      <c r="G63" s="43">
        <v>30</v>
      </c>
      <c r="H63" s="66"/>
    </row>
    <row r="64" spans="1:8" ht="31.5" x14ac:dyDescent="0.25">
      <c r="A64" s="52">
        <v>28</v>
      </c>
      <c r="B64" s="102" t="s">
        <v>246</v>
      </c>
      <c r="C64" s="121" t="s">
        <v>287</v>
      </c>
      <c r="D64" s="25" t="s">
        <v>62</v>
      </c>
      <c r="E64" s="43">
        <v>1</v>
      </c>
      <c r="F64" s="124" t="s">
        <v>55</v>
      </c>
      <c r="G64" s="43">
        <v>30</v>
      </c>
      <c r="H64" s="66"/>
    </row>
    <row r="65" spans="1:8" ht="31.5" x14ac:dyDescent="0.25">
      <c r="A65" s="52">
        <v>29</v>
      </c>
      <c r="B65" s="102" t="s">
        <v>246</v>
      </c>
      <c r="C65" s="121" t="s">
        <v>288</v>
      </c>
      <c r="D65" s="25" t="s">
        <v>62</v>
      </c>
      <c r="E65" s="43">
        <v>1</v>
      </c>
      <c r="F65" s="124" t="s">
        <v>55</v>
      </c>
      <c r="G65" s="43">
        <v>30</v>
      </c>
      <c r="H65" s="66"/>
    </row>
    <row r="66" spans="1:8" ht="31.5" x14ac:dyDescent="0.25">
      <c r="A66" s="52">
        <v>30</v>
      </c>
      <c r="B66" s="102" t="s">
        <v>246</v>
      </c>
      <c r="C66" s="121" t="s">
        <v>289</v>
      </c>
      <c r="D66" s="25" t="s">
        <v>62</v>
      </c>
      <c r="E66" s="43">
        <v>1</v>
      </c>
      <c r="F66" s="124" t="s">
        <v>55</v>
      </c>
      <c r="G66" s="43">
        <v>30</v>
      </c>
      <c r="H66" s="66"/>
    </row>
    <row r="67" spans="1:8" x14ac:dyDescent="0.25">
      <c r="A67" s="52">
        <v>31</v>
      </c>
      <c r="B67" s="102" t="s">
        <v>275</v>
      </c>
      <c r="C67" s="121" t="s">
        <v>290</v>
      </c>
      <c r="D67" s="25" t="s">
        <v>62</v>
      </c>
      <c r="E67" s="43">
        <v>1</v>
      </c>
      <c r="F67" s="124" t="s">
        <v>55</v>
      </c>
      <c r="G67" s="43">
        <v>30</v>
      </c>
      <c r="H67" s="66"/>
    </row>
    <row r="68" spans="1:8" ht="32.25" customHeight="1" x14ac:dyDescent="0.25">
      <c r="A68" s="52">
        <v>32</v>
      </c>
      <c r="B68" s="102" t="s">
        <v>276</v>
      </c>
      <c r="C68" s="104" t="s">
        <v>277</v>
      </c>
      <c r="D68" s="25" t="s">
        <v>62</v>
      </c>
      <c r="E68" s="43">
        <v>1</v>
      </c>
      <c r="F68" s="124" t="s">
        <v>55</v>
      </c>
      <c r="G68" s="43">
        <v>30</v>
      </c>
      <c r="H68" s="66"/>
    </row>
    <row r="69" spans="1:8" x14ac:dyDescent="0.25">
      <c r="A69" s="174" t="s">
        <v>46</v>
      </c>
      <c r="B69" s="175"/>
      <c r="C69" s="175"/>
      <c r="D69" s="175"/>
      <c r="E69" s="156"/>
      <c r="F69" s="156"/>
      <c r="G69" s="175"/>
      <c r="H69" s="175"/>
    </row>
    <row r="70" spans="1:8" ht="78.75" x14ac:dyDescent="0.25">
      <c r="A70" s="36" t="s">
        <v>6</v>
      </c>
      <c r="B70" s="36" t="s">
        <v>5</v>
      </c>
      <c r="C70" s="36" t="s">
        <v>4</v>
      </c>
      <c r="D70" s="36" t="s">
        <v>3</v>
      </c>
      <c r="E70" s="36" t="s">
        <v>48</v>
      </c>
      <c r="F70" s="36" t="s">
        <v>1</v>
      </c>
      <c r="G70" s="36" t="s">
        <v>0</v>
      </c>
      <c r="H70" s="36" t="s">
        <v>8</v>
      </c>
    </row>
    <row r="71" spans="1:8" x14ac:dyDescent="0.25">
      <c r="A71" s="37">
        <v>1</v>
      </c>
      <c r="B71" s="28" t="s">
        <v>63</v>
      </c>
      <c r="C71" s="28" t="s">
        <v>66</v>
      </c>
      <c r="D71" s="25" t="s">
        <v>46</v>
      </c>
      <c r="E71" s="57">
        <v>1</v>
      </c>
      <c r="F71" s="57" t="s">
        <v>55</v>
      </c>
      <c r="G71" s="57">
        <v>2</v>
      </c>
      <c r="H71" s="67"/>
    </row>
    <row r="72" spans="1:8" x14ac:dyDescent="0.25">
      <c r="A72" s="22">
        <v>2</v>
      </c>
      <c r="B72" s="28" t="s">
        <v>64</v>
      </c>
      <c r="C72" s="28" t="s">
        <v>65</v>
      </c>
      <c r="D72" s="25" t="s">
        <v>46</v>
      </c>
      <c r="E72" s="57">
        <v>1</v>
      </c>
      <c r="F72" s="57" t="s">
        <v>55</v>
      </c>
      <c r="G72" s="57">
        <v>2</v>
      </c>
      <c r="H72" s="67"/>
    </row>
  </sheetData>
  <mergeCells count="45">
    <mergeCell ref="A69:H69"/>
    <mergeCell ref="A18:H18"/>
    <mergeCell ref="A23:H23"/>
    <mergeCell ref="A15:H15"/>
    <mergeCell ref="A22:H22"/>
    <mergeCell ref="A17:H17"/>
    <mergeCell ref="A21:H21"/>
    <mergeCell ref="A28:H28"/>
    <mergeCell ref="A36:H36"/>
    <mergeCell ref="A4:H4"/>
    <mergeCell ref="A5:H5"/>
    <mergeCell ref="A1:H1"/>
    <mergeCell ref="A2:H2"/>
    <mergeCell ref="A3:H3"/>
    <mergeCell ref="A6:B6"/>
    <mergeCell ref="C6:H6"/>
    <mergeCell ref="A7:C7"/>
    <mergeCell ref="A19:H19"/>
    <mergeCell ref="A20:H20"/>
    <mergeCell ref="A16:H16"/>
    <mergeCell ref="D7:H7"/>
    <mergeCell ref="A8:B8"/>
    <mergeCell ref="C8:H8"/>
    <mergeCell ref="A9:B9"/>
    <mergeCell ref="C9:D9"/>
    <mergeCell ref="E9:F9"/>
    <mergeCell ref="G9:H9"/>
    <mergeCell ref="A12:B12"/>
    <mergeCell ref="C12:H12"/>
    <mergeCell ref="A14:B14"/>
    <mergeCell ref="C14:H14"/>
    <mergeCell ref="A10:B10"/>
    <mergeCell ref="C10:D10"/>
    <mergeCell ref="E10:F10"/>
    <mergeCell ref="G10:H10"/>
    <mergeCell ref="A11:B11"/>
    <mergeCell ref="C11:H11"/>
    <mergeCell ref="A13:B13"/>
    <mergeCell ref="C13:H13"/>
    <mergeCell ref="K20:Q20"/>
    <mergeCell ref="A24:H24"/>
    <mergeCell ref="A25:H25"/>
    <mergeCell ref="A26:H26"/>
    <mergeCell ref="A27:H27"/>
    <mergeCell ref="K25:Q25"/>
  </mergeCells>
  <dataValidations count="1">
    <dataValidation type="list" allowBlank="1" showInputMessage="1" showErrorMessage="1" promptTitle="список" prompt="выберите вид" sqref="D71:D72 D30:D35 D37:D68" xr:uid="{00000000-0002-0000-0200-000000000000}">
      <formula1>список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zoomScaleNormal="160" workbookViewId="0">
      <selection activeCell="H41" sqref="H41"/>
    </sheetView>
  </sheetViews>
  <sheetFormatPr defaultColWidth="14.42578125" defaultRowHeight="15.75" x14ac:dyDescent="0.25"/>
  <cols>
    <col min="1" max="1" width="5.140625" style="15" customWidth="1"/>
    <col min="2" max="2" width="40.7109375" style="15" customWidth="1"/>
    <col min="3" max="3" width="27.42578125" style="15" customWidth="1"/>
    <col min="4" max="4" width="26.140625" style="15" customWidth="1"/>
    <col min="5" max="5" width="15.42578125" style="15" customWidth="1"/>
    <col min="6" max="6" width="23.42578125" style="15" bestFit="1" customWidth="1"/>
    <col min="7" max="7" width="14.42578125" style="15" customWidth="1"/>
    <col min="8" max="8" width="25" style="15" bestFit="1" customWidth="1"/>
    <col min="9" max="10" width="8.7109375" style="16" customWidth="1"/>
    <col min="11" max="16384" width="14.42578125" style="16"/>
  </cols>
  <sheetData>
    <row r="1" spans="1:8" x14ac:dyDescent="0.25">
      <c r="A1" s="167" t="s">
        <v>27</v>
      </c>
      <c r="B1" s="167"/>
      <c r="C1" s="167"/>
      <c r="D1" s="167"/>
      <c r="E1" s="167"/>
      <c r="F1" s="167"/>
      <c r="G1" s="167"/>
      <c r="H1" s="167"/>
    </row>
    <row r="2" spans="1:8" x14ac:dyDescent="0.25">
      <c r="A2" s="168" t="str">
        <f>'Информация о Чемпионате'!B4</f>
        <v>Итоговый (межрегиональный) этап Чемпионата по профессиональному мастерству "Профессионалы" 2026</v>
      </c>
      <c r="B2" s="168"/>
      <c r="C2" s="168"/>
      <c r="D2" s="168"/>
      <c r="E2" s="168"/>
      <c r="F2" s="168"/>
      <c r="G2" s="168"/>
      <c r="H2" s="168"/>
    </row>
    <row r="3" spans="1:8" x14ac:dyDescent="0.25">
      <c r="A3" s="167" t="s">
        <v>28</v>
      </c>
      <c r="B3" s="167"/>
      <c r="C3" s="167"/>
      <c r="D3" s="167"/>
      <c r="E3" s="167"/>
      <c r="F3" s="167"/>
      <c r="G3" s="167"/>
      <c r="H3" s="167"/>
    </row>
    <row r="4" spans="1:8" x14ac:dyDescent="0.25">
      <c r="A4" s="171" t="str">
        <f>'Информация о Чемпионате'!B3</f>
        <v>Основная</v>
      </c>
      <c r="B4" s="171"/>
      <c r="C4" s="171"/>
      <c r="D4" s="171"/>
      <c r="E4" s="171"/>
      <c r="F4" s="171"/>
      <c r="G4" s="171"/>
      <c r="H4" s="171"/>
    </row>
    <row r="5" spans="1:8" x14ac:dyDescent="0.25">
      <c r="A5" s="162" t="s">
        <v>9</v>
      </c>
      <c r="B5" s="156"/>
      <c r="C5" s="156"/>
      <c r="D5" s="156"/>
      <c r="E5" s="156"/>
      <c r="F5" s="156"/>
      <c r="G5" s="156"/>
      <c r="H5" s="156"/>
    </row>
    <row r="6" spans="1:8" x14ac:dyDescent="0.25">
      <c r="A6" s="162" t="s">
        <v>25</v>
      </c>
      <c r="B6" s="162"/>
      <c r="C6" s="169" t="str">
        <f>'Информация о Чемпионате'!B5</f>
        <v>Свердловская область</v>
      </c>
      <c r="D6" s="169"/>
      <c r="E6" s="169"/>
      <c r="F6" s="169"/>
      <c r="G6" s="169"/>
      <c r="H6" s="169"/>
    </row>
    <row r="7" spans="1:8" x14ac:dyDescent="0.25">
      <c r="A7" s="162" t="s">
        <v>26</v>
      </c>
      <c r="B7" s="162"/>
      <c r="C7" s="162"/>
      <c r="D7" s="169" t="str">
        <f>'Информация о Чемпионате'!B6</f>
        <v>ГАПОУ СО "Екатеринбургский экономико-технологический колледж"</v>
      </c>
      <c r="E7" s="169"/>
      <c r="F7" s="169"/>
      <c r="G7" s="169"/>
      <c r="H7" s="169"/>
    </row>
    <row r="8" spans="1:8" x14ac:dyDescent="0.25">
      <c r="A8" s="162" t="s">
        <v>22</v>
      </c>
      <c r="B8" s="162"/>
      <c r="C8" s="162" t="str">
        <f>'Информация о Чемпионате'!B7</f>
        <v>г. Екатеринбург, ул. Проспект космонавтов 50</v>
      </c>
      <c r="D8" s="162"/>
      <c r="E8" s="162"/>
      <c r="F8" s="162"/>
      <c r="G8" s="162"/>
      <c r="H8" s="162"/>
    </row>
    <row r="9" spans="1:8" x14ac:dyDescent="0.25">
      <c r="A9" s="162" t="s">
        <v>24</v>
      </c>
      <c r="B9" s="162"/>
      <c r="C9" s="162" t="str">
        <f>'Информация о Чемпионате'!B9</f>
        <v>Кривоносова Наталья Викторовна</v>
      </c>
      <c r="D9" s="162"/>
      <c r="E9" s="162" t="str">
        <f>'Информация о Чемпионате'!B10</f>
        <v>nvkrivonosowa@mail.ru</v>
      </c>
      <c r="F9" s="162"/>
      <c r="G9" s="162" t="str">
        <f>'Информация о Чемпионате'!B11</f>
        <v>+7-952-385-42-25</v>
      </c>
      <c r="H9" s="162"/>
    </row>
    <row r="10" spans="1:8" ht="15.75" customHeight="1" x14ac:dyDescent="0.25">
      <c r="A10" s="162" t="s">
        <v>32</v>
      </c>
      <c r="B10" s="162"/>
      <c r="C10" s="162" t="str">
        <f>'Информация о Чемпионате'!B12</f>
        <v>Гайткулов Николай Валентинович</v>
      </c>
      <c r="D10" s="162"/>
      <c r="E10" s="162" t="str">
        <f>'Информация о Чемпионате'!B13</f>
        <v>kvozar@live.ru</v>
      </c>
      <c r="F10" s="162"/>
      <c r="G10" s="162" t="str">
        <f>'Информация о Чемпионате'!B14</f>
        <v>+7-953-055-09-80</v>
      </c>
      <c r="H10" s="162"/>
    </row>
    <row r="11" spans="1:8" ht="15.75" customHeight="1" x14ac:dyDescent="0.25">
      <c r="A11" s="162" t="s">
        <v>37</v>
      </c>
      <c r="B11" s="162"/>
      <c r="C11" s="162">
        <f>'Информация о Чемпионате'!B17</f>
        <v>0</v>
      </c>
      <c r="D11" s="162"/>
      <c r="E11" s="162"/>
      <c r="F11" s="162"/>
      <c r="G11" s="162"/>
      <c r="H11" s="162"/>
    </row>
    <row r="12" spans="1:8" x14ac:dyDescent="0.25">
      <c r="A12" s="162" t="s">
        <v>44</v>
      </c>
      <c r="B12" s="162"/>
      <c r="C12" s="162">
        <f>'Информация о Чемпионате'!B15</f>
        <v>30</v>
      </c>
      <c r="D12" s="162"/>
      <c r="E12" s="162"/>
      <c r="F12" s="162"/>
      <c r="G12" s="162"/>
      <c r="H12" s="162"/>
    </row>
    <row r="13" spans="1:8" x14ac:dyDescent="0.25">
      <c r="A13" s="162" t="s">
        <v>16</v>
      </c>
      <c r="B13" s="162"/>
      <c r="C13" s="162">
        <f>'Информация о Чемпионате'!B16</f>
        <v>30</v>
      </c>
      <c r="D13" s="162"/>
      <c r="E13" s="162"/>
      <c r="F13" s="162"/>
      <c r="G13" s="162"/>
      <c r="H13" s="162"/>
    </row>
    <row r="14" spans="1:8" x14ac:dyDescent="0.25">
      <c r="A14" s="162" t="s">
        <v>23</v>
      </c>
      <c r="B14" s="162"/>
      <c r="C14" s="162" t="str">
        <f>'Информация о Чемпионате'!B8</f>
        <v>13.04.2026-19.04.2026</v>
      </c>
      <c r="D14" s="162"/>
      <c r="E14" s="162"/>
      <c r="F14" s="162"/>
      <c r="G14" s="162"/>
      <c r="H14" s="162"/>
    </row>
    <row r="15" spans="1:8" x14ac:dyDescent="0.25">
      <c r="A15" s="174" t="s">
        <v>10</v>
      </c>
      <c r="B15" s="175"/>
      <c r="C15" s="175"/>
      <c r="D15" s="175"/>
      <c r="E15" s="175"/>
      <c r="F15" s="175"/>
      <c r="G15" s="175"/>
      <c r="H15" s="175"/>
    </row>
    <row r="16" spans="1:8" ht="78.75" x14ac:dyDescent="0.25">
      <c r="A16" s="36" t="s">
        <v>6</v>
      </c>
      <c r="B16" s="36" t="s">
        <v>5</v>
      </c>
      <c r="C16" s="19" t="s">
        <v>4</v>
      </c>
      <c r="D16" s="65" t="s">
        <v>3</v>
      </c>
      <c r="E16" s="65" t="s">
        <v>48</v>
      </c>
      <c r="F16" s="65" t="s">
        <v>1</v>
      </c>
      <c r="G16" s="65" t="s">
        <v>0</v>
      </c>
      <c r="H16" s="65" t="s">
        <v>8</v>
      </c>
    </row>
    <row r="17" spans="1:8" ht="30" x14ac:dyDescent="0.25">
      <c r="A17" s="129">
        <v>1</v>
      </c>
      <c r="B17" s="108" t="s">
        <v>73</v>
      </c>
      <c r="C17" s="108" t="s">
        <v>298</v>
      </c>
      <c r="D17" s="25" t="s">
        <v>75</v>
      </c>
      <c r="E17" s="26">
        <v>1</v>
      </c>
      <c r="F17" s="131" t="s">
        <v>318</v>
      </c>
      <c r="G17" s="26">
        <v>3</v>
      </c>
      <c r="H17" s="75"/>
    </row>
    <row r="18" spans="1:8" x14ac:dyDescent="0.25">
      <c r="A18" s="188" t="s">
        <v>11</v>
      </c>
      <c r="B18" s="189"/>
      <c r="C18" s="189"/>
      <c r="D18" s="189"/>
      <c r="E18" s="189"/>
      <c r="F18" s="189"/>
      <c r="G18" s="189"/>
      <c r="H18" s="190"/>
    </row>
    <row r="19" spans="1:8" ht="78.75" x14ac:dyDescent="0.25">
      <c r="A19" s="69" t="s">
        <v>6</v>
      </c>
      <c r="B19" s="70" t="s">
        <v>5</v>
      </c>
      <c r="C19" s="65" t="s">
        <v>4</v>
      </c>
      <c r="D19" s="69" t="s">
        <v>3</v>
      </c>
      <c r="E19" s="20" t="s">
        <v>45</v>
      </c>
      <c r="F19" s="69" t="s">
        <v>1</v>
      </c>
      <c r="G19" s="36" t="s">
        <v>0</v>
      </c>
      <c r="H19" s="65" t="s">
        <v>8</v>
      </c>
    </row>
    <row r="20" spans="1:8" s="72" customFormat="1" x14ac:dyDescent="0.25">
      <c r="A20" s="29">
        <v>1</v>
      </c>
      <c r="B20" s="24" t="s">
        <v>319</v>
      </c>
      <c r="C20" s="24" t="s">
        <v>67</v>
      </c>
      <c r="D20" s="25" t="s">
        <v>75</v>
      </c>
      <c r="E20" s="71">
        <v>1</v>
      </c>
      <c r="F20" s="71" t="s">
        <v>68</v>
      </c>
      <c r="G20" s="83">
        <v>30</v>
      </c>
      <c r="H20" s="75"/>
    </row>
    <row r="21" spans="1:8" s="72" customFormat="1" ht="47.25" x14ac:dyDescent="0.25">
      <c r="A21" s="29">
        <v>2</v>
      </c>
      <c r="B21" s="24" t="s">
        <v>69</v>
      </c>
      <c r="C21" s="73" t="s">
        <v>70</v>
      </c>
      <c r="D21" s="25" t="s">
        <v>75</v>
      </c>
      <c r="E21" s="71">
        <v>1</v>
      </c>
      <c r="F21" s="71" t="s">
        <v>55</v>
      </c>
      <c r="G21" s="83">
        <v>5</v>
      </c>
      <c r="H21" s="75"/>
    </row>
    <row r="22" spans="1:8" s="72" customFormat="1" x14ac:dyDescent="0.25">
      <c r="A22" s="29">
        <v>3</v>
      </c>
      <c r="B22" s="24" t="s">
        <v>71</v>
      </c>
      <c r="C22" s="24" t="s">
        <v>320</v>
      </c>
      <c r="D22" s="25" t="s">
        <v>75</v>
      </c>
      <c r="E22" s="71">
        <v>1</v>
      </c>
      <c r="F22" s="131" t="s">
        <v>318</v>
      </c>
      <c r="G22" s="83">
        <v>5</v>
      </c>
      <c r="H22" s="75"/>
    </row>
    <row r="23" spans="1:8" s="72" customFormat="1" x14ac:dyDescent="0.25">
      <c r="A23" s="29">
        <v>4</v>
      </c>
      <c r="B23" s="24" t="s">
        <v>321</v>
      </c>
      <c r="C23" s="24" t="s">
        <v>322</v>
      </c>
      <c r="D23" s="25" t="s">
        <v>75</v>
      </c>
      <c r="E23" s="71">
        <v>1</v>
      </c>
      <c r="F23" s="131" t="s">
        <v>318</v>
      </c>
      <c r="G23" s="83">
        <v>5</v>
      </c>
      <c r="H23" s="75"/>
    </row>
    <row r="24" spans="1:8" s="72" customFormat="1" ht="50.25" customHeight="1" x14ac:dyDescent="0.25">
      <c r="A24" s="29">
        <v>5</v>
      </c>
      <c r="B24" s="24" t="s">
        <v>72</v>
      </c>
      <c r="C24" s="24" t="s">
        <v>323</v>
      </c>
      <c r="D24" s="25" t="s">
        <v>75</v>
      </c>
      <c r="E24" s="71">
        <v>1</v>
      </c>
      <c r="F24" s="71" t="s">
        <v>55</v>
      </c>
      <c r="G24" s="83">
        <v>50</v>
      </c>
      <c r="H24" s="75"/>
    </row>
    <row r="25" spans="1:8" s="72" customFormat="1" ht="33" customHeight="1" x14ac:dyDescent="0.25">
      <c r="A25" s="29">
        <v>6</v>
      </c>
      <c r="B25" s="75" t="s">
        <v>74</v>
      </c>
      <c r="C25" s="23" t="s">
        <v>324</v>
      </c>
      <c r="D25" s="25" t="s">
        <v>75</v>
      </c>
      <c r="E25" s="71">
        <v>1</v>
      </c>
      <c r="F25" s="131" t="s">
        <v>318</v>
      </c>
      <c r="G25" s="84">
        <v>4</v>
      </c>
      <c r="H25" s="75"/>
    </row>
    <row r="26" spans="1:8" s="72" customFormat="1" x14ac:dyDescent="0.25">
      <c r="A26" s="29">
        <v>7</v>
      </c>
      <c r="B26" s="56" t="s">
        <v>325</v>
      </c>
      <c r="C26" s="56" t="s">
        <v>325</v>
      </c>
      <c r="D26" s="25" t="s">
        <v>75</v>
      </c>
      <c r="E26" s="63">
        <v>1</v>
      </c>
      <c r="F26" s="131" t="s">
        <v>318</v>
      </c>
      <c r="G26" s="85">
        <v>7</v>
      </c>
      <c r="H26" s="75"/>
    </row>
    <row r="27" spans="1:8" s="72" customFormat="1" ht="47.25" x14ac:dyDescent="0.25">
      <c r="A27" s="29">
        <v>8</v>
      </c>
      <c r="B27" s="56" t="s">
        <v>77</v>
      </c>
      <c r="C27" s="56" t="s">
        <v>78</v>
      </c>
      <c r="D27" s="25" t="s">
        <v>75</v>
      </c>
      <c r="E27" s="62">
        <v>1</v>
      </c>
      <c r="F27" s="71" t="s">
        <v>55</v>
      </c>
      <c r="G27" s="86">
        <v>5</v>
      </c>
      <c r="H27" s="75"/>
    </row>
    <row r="28" spans="1:8" s="72" customFormat="1" ht="31.5" x14ac:dyDescent="0.25">
      <c r="A28" s="29">
        <v>9</v>
      </c>
      <c r="B28" s="78" t="s">
        <v>83</v>
      </c>
      <c r="C28" s="78" t="s">
        <v>91</v>
      </c>
      <c r="D28" s="25" t="s">
        <v>75</v>
      </c>
      <c r="E28" s="74">
        <v>1</v>
      </c>
      <c r="F28" s="79" t="s">
        <v>55</v>
      </c>
      <c r="G28" s="87">
        <v>6</v>
      </c>
      <c r="H28" s="75"/>
    </row>
    <row r="29" spans="1:8" s="72" customFormat="1" ht="31.5" x14ac:dyDescent="0.25">
      <c r="A29" s="29">
        <v>10</v>
      </c>
      <c r="B29" s="78" t="s">
        <v>326</v>
      </c>
      <c r="C29" s="78" t="s">
        <v>326</v>
      </c>
      <c r="D29" s="25" t="s">
        <v>75</v>
      </c>
      <c r="E29" s="138">
        <v>1</v>
      </c>
      <c r="F29" s="79" t="s">
        <v>55</v>
      </c>
      <c r="G29" s="87">
        <v>2</v>
      </c>
      <c r="H29" s="75"/>
    </row>
    <row r="30" spans="1:8" s="72" customFormat="1" ht="47.25" x14ac:dyDescent="0.25">
      <c r="A30" s="29">
        <v>11</v>
      </c>
      <c r="B30" s="56" t="s">
        <v>79</v>
      </c>
      <c r="C30" s="56" t="s">
        <v>80</v>
      </c>
      <c r="D30" s="25" t="s">
        <v>75</v>
      </c>
      <c r="E30" s="63">
        <v>1</v>
      </c>
      <c r="F30" s="80" t="s">
        <v>55</v>
      </c>
      <c r="G30" s="85">
        <v>5</v>
      </c>
      <c r="H30" s="75"/>
    </row>
    <row r="31" spans="1:8" s="72" customFormat="1" x14ac:dyDescent="0.25">
      <c r="A31" s="29">
        <v>12</v>
      </c>
      <c r="B31" s="28" t="s">
        <v>327</v>
      </c>
      <c r="C31" s="24" t="s">
        <v>322</v>
      </c>
      <c r="D31" s="25" t="s">
        <v>75</v>
      </c>
      <c r="E31" s="71">
        <v>1</v>
      </c>
      <c r="F31" s="131" t="s">
        <v>318</v>
      </c>
      <c r="G31" s="88">
        <v>5</v>
      </c>
      <c r="H31" s="75"/>
    </row>
    <row r="32" spans="1:8" s="72" customFormat="1" x14ac:dyDescent="0.25">
      <c r="A32" s="29">
        <v>13</v>
      </c>
      <c r="B32" s="140" t="s">
        <v>328</v>
      </c>
      <c r="C32" s="139" t="s">
        <v>329</v>
      </c>
      <c r="D32" s="25" t="s">
        <v>75</v>
      </c>
      <c r="E32" s="71">
        <v>1</v>
      </c>
      <c r="F32" s="131" t="s">
        <v>318</v>
      </c>
      <c r="G32" s="88">
        <v>5</v>
      </c>
      <c r="H32" s="75"/>
    </row>
    <row r="33" spans="1:8" s="72" customFormat="1" ht="94.5" x14ac:dyDescent="0.25">
      <c r="A33" s="29">
        <v>14</v>
      </c>
      <c r="B33" s="75" t="s">
        <v>76</v>
      </c>
      <c r="C33" s="23" t="s">
        <v>84</v>
      </c>
      <c r="D33" s="25" t="s">
        <v>75</v>
      </c>
      <c r="E33" s="71">
        <v>1</v>
      </c>
      <c r="F33" s="77" t="s">
        <v>81</v>
      </c>
      <c r="G33" s="84">
        <v>20</v>
      </c>
      <c r="H33" s="75"/>
    </row>
    <row r="34" spans="1:8" s="72" customFormat="1" ht="35.25" customHeight="1" x14ac:dyDescent="0.25">
      <c r="A34" s="29">
        <v>15</v>
      </c>
      <c r="B34" s="76" t="s">
        <v>330</v>
      </c>
      <c r="C34" s="24" t="s">
        <v>322</v>
      </c>
      <c r="D34" s="25" t="s">
        <v>75</v>
      </c>
      <c r="E34" s="71">
        <v>1</v>
      </c>
      <c r="F34" s="19" t="s">
        <v>55</v>
      </c>
      <c r="G34" s="32">
        <v>7</v>
      </c>
      <c r="H34" s="75"/>
    </row>
    <row r="35" spans="1:8" s="72" customFormat="1" x14ac:dyDescent="0.25">
      <c r="A35" s="29">
        <v>16</v>
      </c>
      <c r="B35" s="23" t="s">
        <v>331</v>
      </c>
      <c r="C35" s="24" t="s">
        <v>82</v>
      </c>
      <c r="D35" s="25" t="s">
        <v>75</v>
      </c>
      <c r="E35" s="71">
        <v>1</v>
      </c>
      <c r="F35" s="77" t="s">
        <v>55</v>
      </c>
      <c r="G35" s="89">
        <v>11</v>
      </c>
      <c r="H35" s="75"/>
    </row>
    <row r="36" spans="1:8" s="72" customFormat="1" x14ac:dyDescent="0.25">
      <c r="A36" s="29">
        <v>17</v>
      </c>
      <c r="B36" s="132" t="s">
        <v>332</v>
      </c>
      <c r="C36" s="132" t="s">
        <v>332</v>
      </c>
      <c r="D36" s="25" t="s">
        <v>75</v>
      </c>
      <c r="E36" s="68">
        <v>1</v>
      </c>
      <c r="F36" s="77" t="s">
        <v>55</v>
      </c>
      <c r="G36" s="90">
        <v>3</v>
      </c>
      <c r="H36" s="75"/>
    </row>
    <row r="37" spans="1:8" s="72" customFormat="1" x14ac:dyDescent="0.25">
      <c r="A37" s="29">
        <v>18</v>
      </c>
      <c r="B37" s="133" t="s">
        <v>333</v>
      </c>
      <c r="C37" s="133" t="s">
        <v>333</v>
      </c>
      <c r="D37" s="141" t="s">
        <v>75</v>
      </c>
      <c r="E37" s="142">
        <v>1</v>
      </c>
      <c r="F37" s="79" t="s">
        <v>55</v>
      </c>
      <c r="G37" s="143">
        <v>25</v>
      </c>
      <c r="H37" s="144"/>
    </row>
    <row r="38" spans="1:8" s="72" customFormat="1" x14ac:dyDescent="0.25">
      <c r="A38" s="29">
        <v>19</v>
      </c>
      <c r="B38" s="119" t="s">
        <v>334</v>
      </c>
      <c r="C38" s="119" t="s">
        <v>334</v>
      </c>
      <c r="D38" s="25" t="s">
        <v>75</v>
      </c>
      <c r="E38" s="68">
        <v>1</v>
      </c>
      <c r="F38" s="77" t="s">
        <v>55</v>
      </c>
      <c r="G38" s="68">
        <v>100</v>
      </c>
      <c r="H38" s="75"/>
    </row>
    <row r="39" spans="1:8" x14ac:dyDescent="0.25">
      <c r="A39" s="176" t="s">
        <v>46</v>
      </c>
      <c r="B39" s="156"/>
      <c r="C39" s="156"/>
      <c r="D39" s="156"/>
      <c r="E39" s="156"/>
      <c r="F39" s="156"/>
      <c r="G39" s="156"/>
      <c r="H39" s="156"/>
    </row>
    <row r="40" spans="1:8" ht="78.75" x14ac:dyDescent="0.25">
      <c r="A40" s="43" t="s">
        <v>6</v>
      </c>
      <c r="B40" s="43" t="s">
        <v>5</v>
      </c>
      <c r="C40" s="43" t="s">
        <v>4</v>
      </c>
      <c r="D40" s="43" t="s">
        <v>3</v>
      </c>
      <c r="E40" s="20" t="s">
        <v>45</v>
      </c>
      <c r="F40" s="43" t="s">
        <v>1</v>
      </c>
      <c r="G40" s="43" t="s">
        <v>0</v>
      </c>
      <c r="H40" s="43" t="s">
        <v>8</v>
      </c>
    </row>
    <row r="41" spans="1:8" ht="31.5" x14ac:dyDescent="0.25">
      <c r="A41" s="93">
        <v>1</v>
      </c>
      <c r="B41" s="82" t="s">
        <v>86</v>
      </c>
      <c r="C41" s="94" t="s">
        <v>87</v>
      </c>
      <c r="D41" s="25" t="s">
        <v>75</v>
      </c>
      <c r="E41" s="93">
        <v>1</v>
      </c>
      <c r="F41" s="77" t="s">
        <v>55</v>
      </c>
      <c r="G41" s="93">
        <v>1</v>
      </c>
      <c r="H41" s="82" t="s">
        <v>88</v>
      </c>
    </row>
  </sheetData>
  <mergeCells count="30">
    <mergeCell ref="A1:H1"/>
    <mergeCell ref="A2:H2"/>
    <mergeCell ref="A3:H3"/>
    <mergeCell ref="A6:B6"/>
    <mergeCell ref="C6:H6"/>
    <mergeCell ref="A39:H39"/>
    <mergeCell ref="A18:H18"/>
    <mergeCell ref="A4:H4"/>
    <mergeCell ref="A5:H5"/>
    <mergeCell ref="A15:H15"/>
    <mergeCell ref="A13:B13"/>
    <mergeCell ref="C13:H13"/>
    <mergeCell ref="A7:C7"/>
    <mergeCell ref="D7:H7"/>
    <mergeCell ref="A8:B8"/>
    <mergeCell ref="C8:H8"/>
    <mergeCell ref="A9:B9"/>
    <mergeCell ref="C9:D9"/>
    <mergeCell ref="E9:F9"/>
    <mergeCell ref="G9:H9"/>
    <mergeCell ref="A12:B12"/>
    <mergeCell ref="C12:H12"/>
    <mergeCell ref="A14:B14"/>
    <mergeCell ref="C14:H14"/>
    <mergeCell ref="A10:B10"/>
    <mergeCell ref="C10:D10"/>
    <mergeCell ref="E10:F10"/>
    <mergeCell ref="G10:H10"/>
    <mergeCell ref="A11:B11"/>
    <mergeCell ref="C11:H11"/>
  </mergeCells>
  <dataValidations count="1">
    <dataValidation type="list" allowBlank="1" showInputMessage="1" showErrorMessage="1" promptTitle="список" prompt="выберите вид" sqref="D17 D20:D38 D41" xr:uid="{00000000-0002-0000-0300-000000000000}">
      <formula1>список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zoomScale="87" zoomScaleNormal="87" workbookViewId="0">
      <selection activeCell="D14" sqref="D14"/>
    </sheetView>
  </sheetViews>
  <sheetFormatPr defaultColWidth="14.42578125" defaultRowHeight="15" x14ac:dyDescent="0.25"/>
  <cols>
    <col min="1" max="1" width="5.140625" style="1" customWidth="1"/>
    <col min="2" max="2" width="52" style="1" customWidth="1"/>
    <col min="3" max="3" width="27.42578125" style="1" customWidth="1"/>
    <col min="4" max="4" width="22" style="1" customWidth="1"/>
    <col min="5" max="5" width="15.42578125" style="1" customWidth="1"/>
    <col min="6" max="6" width="19.7109375" style="1" bestFit="1" customWidth="1"/>
    <col min="7" max="7" width="14.42578125" style="1" customWidth="1"/>
    <col min="8" max="9" width="8.7109375" style="1" customWidth="1"/>
    <col min="10" max="16384" width="14.42578125" style="1"/>
  </cols>
  <sheetData>
    <row r="1" spans="1:8" ht="20.25" x14ac:dyDescent="0.3">
      <c r="A1" s="194" t="s">
        <v>27</v>
      </c>
      <c r="B1" s="194"/>
      <c r="C1" s="194"/>
      <c r="D1" s="194"/>
      <c r="E1" s="194"/>
      <c r="F1" s="194"/>
      <c r="G1" s="194"/>
      <c r="H1" s="10"/>
    </row>
    <row r="2" spans="1:8" ht="20.25" x14ac:dyDescent="0.25">
      <c r="A2" s="195" t="str">
        <f>'Информация о Чемпионате'!B4</f>
        <v>Итоговый (межрегиональный) этап Чемпионата по профессиональному мастерству "Профессионалы" 2026</v>
      </c>
      <c r="B2" s="195"/>
      <c r="C2" s="195"/>
      <c r="D2" s="195"/>
      <c r="E2" s="195"/>
      <c r="F2" s="195"/>
      <c r="G2" s="195"/>
      <c r="H2" s="11"/>
    </row>
    <row r="3" spans="1:8" ht="20.25" x14ac:dyDescent="0.3">
      <c r="A3" s="194" t="s">
        <v>28</v>
      </c>
      <c r="B3" s="194"/>
      <c r="C3" s="194"/>
      <c r="D3" s="194"/>
      <c r="E3" s="194"/>
      <c r="F3" s="194"/>
      <c r="G3" s="194"/>
      <c r="H3" s="10"/>
    </row>
    <row r="4" spans="1:8" ht="20.25" x14ac:dyDescent="0.25">
      <c r="A4" s="193" t="str">
        <f>'Информация о Чемпионате'!B3</f>
        <v>Основная</v>
      </c>
      <c r="B4" s="193"/>
      <c r="C4" s="193"/>
      <c r="D4" s="193"/>
      <c r="E4" s="193"/>
      <c r="F4" s="193"/>
      <c r="G4" s="193"/>
      <c r="H4" s="12"/>
    </row>
    <row r="5" spans="1:8" ht="20.25" x14ac:dyDescent="0.25">
      <c r="A5" s="191" t="s">
        <v>12</v>
      </c>
      <c r="B5" s="192"/>
      <c r="C5" s="192"/>
      <c r="D5" s="192"/>
      <c r="E5" s="192"/>
      <c r="F5" s="192"/>
      <c r="G5" s="192"/>
    </row>
    <row r="6" spans="1:8" ht="30" x14ac:dyDescent="0.25">
      <c r="A6" s="2" t="s">
        <v>6</v>
      </c>
      <c r="B6" s="2" t="s">
        <v>5</v>
      </c>
      <c r="C6" s="3" t="s">
        <v>4</v>
      </c>
      <c r="D6" s="2" t="s">
        <v>3</v>
      </c>
      <c r="E6" s="2" t="s">
        <v>2</v>
      </c>
      <c r="F6" s="2" t="s">
        <v>1</v>
      </c>
      <c r="G6" s="2" t="s">
        <v>13</v>
      </c>
    </row>
    <row r="7" spans="1:8" ht="30" x14ac:dyDescent="0.25">
      <c r="A7" s="4">
        <v>1</v>
      </c>
      <c r="B7" s="123" t="s">
        <v>300</v>
      </c>
      <c r="C7" s="123" t="s">
        <v>301</v>
      </c>
      <c r="D7" s="134"/>
      <c r="E7" s="135">
        <v>1</v>
      </c>
      <c r="F7" s="135" t="s">
        <v>302</v>
      </c>
      <c r="G7" s="13"/>
    </row>
    <row r="8" spans="1:8" ht="30" x14ac:dyDescent="0.25">
      <c r="A8" s="4">
        <v>2</v>
      </c>
      <c r="B8" s="123" t="s">
        <v>303</v>
      </c>
      <c r="C8" s="123" t="s">
        <v>301</v>
      </c>
      <c r="D8" s="134"/>
      <c r="E8" s="135">
        <v>1</v>
      </c>
      <c r="F8" s="135" t="s">
        <v>302</v>
      </c>
      <c r="G8" s="13"/>
    </row>
    <row r="9" spans="1:8" x14ac:dyDescent="0.25">
      <c r="A9" s="4">
        <v>3</v>
      </c>
      <c r="B9" s="123" t="s">
        <v>304</v>
      </c>
      <c r="C9" s="123" t="s">
        <v>305</v>
      </c>
      <c r="D9" s="134"/>
      <c r="E9" s="135">
        <v>1</v>
      </c>
      <c r="F9" s="135" t="s">
        <v>302</v>
      </c>
      <c r="G9" s="13"/>
    </row>
    <row r="10" spans="1:8" ht="45" x14ac:dyDescent="0.25">
      <c r="A10" s="4">
        <v>4</v>
      </c>
      <c r="B10" s="123" t="s">
        <v>306</v>
      </c>
      <c r="C10" s="130" t="s">
        <v>299</v>
      </c>
      <c r="D10" s="136"/>
      <c r="E10" s="135">
        <v>1</v>
      </c>
      <c r="F10" s="135" t="s">
        <v>302</v>
      </c>
      <c r="G10" s="14"/>
    </row>
  </sheetData>
  <mergeCells count="5">
    <mergeCell ref="A5:G5"/>
    <mergeCell ref="A4:G4"/>
    <mergeCell ref="A1:G1"/>
    <mergeCell ref="A2:G2"/>
    <mergeCell ref="A3:G3"/>
  </mergeCell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20"/>
  <sheetViews>
    <sheetView workbookViewId="0">
      <selection activeCell="F15" sqref="F15"/>
    </sheetView>
  </sheetViews>
  <sheetFormatPr defaultRowHeight="15" x14ac:dyDescent="0.25"/>
  <cols>
    <col min="2" max="2" width="36.5703125" customWidth="1"/>
  </cols>
  <sheetData>
    <row r="2" spans="1:2" ht="15.75" x14ac:dyDescent="0.25">
      <c r="A2" s="91"/>
      <c r="B2" s="92" t="s">
        <v>85</v>
      </c>
    </row>
    <row r="3" spans="1:2" ht="15.75" x14ac:dyDescent="0.25">
      <c r="A3" s="91"/>
      <c r="B3" s="92" t="s">
        <v>94</v>
      </c>
    </row>
    <row r="4" spans="1:2" ht="15.75" x14ac:dyDescent="0.25">
      <c r="A4" s="91"/>
      <c r="B4" s="42" t="s">
        <v>51</v>
      </c>
    </row>
    <row r="5" spans="1:2" ht="22.5" customHeight="1" x14ac:dyDescent="0.25">
      <c r="A5" s="91"/>
      <c r="B5" s="57" t="s">
        <v>58</v>
      </c>
    </row>
    <row r="6" spans="1:2" ht="15.75" x14ac:dyDescent="0.25">
      <c r="A6" s="91"/>
      <c r="B6" s="92" t="s">
        <v>62</v>
      </c>
    </row>
    <row r="7" spans="1:2" ht="18" customHeight="1" x14ac:dyDescent="0.25">
      <c r="A7" s="91"/>
      <c r="B7" s="34" t="s">
        <v>46</v>
      </c>
    </row>
    <row r="8" spans="1:2" ht="21.75" customHeight="1" x14ac:dyDescent="0.25">
      <c r="A8" s="91"/>
      <c r="B8" s="34" t="s">
        <v>75</v>
      </c>
    </row>
    <row r="9" spans="1:2" ht="15.75" x14ac:dyDescent="0.25">
      <c r="A9" s="91"/>
      <c r="B9" s="91"/>
    </row>
    <row r="10" spans="1:2" ht="15.75" x14ac:dyDescent="0.25">
      <c r="A10" s="91"/>
      <c r="B10" s="91"/>
    </row>
    <row r="11" spans="1:2" ht="15.75" x14ac:dyDescent="0.25">
      <c r="A11" s="91"/>
      <c r="B11" s="91"/>
    </row>
    <row r="12" spans="1:2" ht="15.75" x14ac:dyDescent="0.25">
      <c r="A12" s="91"/>
      <c r="B12" s="91"/>
    </row>
    <row r="13" spans="1:2" ht="15.75" x14ac:dyDescent="0.25">
      <c r="A13" s="91"/>
      <c r="B13" s="91"/>
    </row>
    <row r="14" spans="1:2" ht="15.75" x14ac:dyDescent="0.25">
      <c r="A14" s="91"/>
      <c r="B14" s="91"/>
    </row>
    <row r="15" spans="1:2" ht="15.75" x14ac:dyDescent="0.25">
      <c r="A15" s="91"/>
      <c r="B15" s="91"/>
    </row>
    <row r="16" spans="1:2" ht="15.75" x14ac:dyDescent="0.25">
      <c r="A16" s="91"/>
      <c r="B16" s="91"/>
    </row>
    <row r="17" spans="1:2" ht="15.75" x14ac:dyDescent="0.25">
      <c r="A17" s="91"/>
      <c r="B17" s="91"/>
    </row>
    <row r="18" spans="1:2" ht="15.75" x14ac:dyDescent="0.25">
      <c r="A18" s="91"/>
      <c r="B18" s="91"/>
    </row>
    <row r="19" spans="1:2" ht="15.75" x14ac:dyDescent="0.25">
      <c r="A19" s="91"/>
      <c r="B19" s="91"/>
    </row>
    <row r="20" spans="1:2" ht="15.75" x14ac:dyDescent="0.25">
      <c r="A20" s="91"/>
      <c r="B20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Информация о Чемпионате</vt:lpstr>
      <vt:lpstr>Общая инфраструктура</vt:lpstr>
      <vt:lpstr>Рабочее место конкурсантов</vt:lpstr>
      <vt:lpstr>Расходные материалы</vt:lpstr>
      <vt:lpstr>Личный инструмент конкурсанта</vt:lpstr>
      <vt:lpstr>Лист1</vt:lpstr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Vector</dc:creator>
  <cp:lastModifiedBy>Наталья Викторовна Кривоносова</cp:lastModifiedBy>
  <dcterms:created xsi:type="dcterms:W3CDTF">2023-01-11T12:24:27Z</dcterms:created>
  <dcterms:modified xsi:type="dcterms:W3CDTF">2026-04-06T10:00:51Z</dcterms:modified>
</cp:coreProperties>
</file>